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97408ec432ef2fec/Υπολογιστής/"/>
    </mc:Choice>
  </mc:AlternateContent>
  <xr:revisionPtr revIDLastSave="1525" documentId="8_{C5A5974C-48B6-4CCF-9306-02A49EF48F98}" xr6:coauthVersionLast="47" xr6:coauthVersionMax="47" xr10:uidLastSave="{BE855DAB-1C7D-486B-92C1-2D3A49CDDF7D}"/>
  <bookViews>
    <workbookView xWindow="-108" yWindow="-108" windowWidth="23256" windowHeight="12456" activeTab="3" xr2:uid="{078C29F1-DC7A-4113-AF62-AE7F8716AC5D}"/>
  </bookViews>
  <sheets>
    <sheet name="tbl_Healthcare" sheetId="1" r:id="rId1"/>
    <sheet name="Dashboard_Data" sheetId="2" r:id="rId2"/>
    <sheet name="Dashboard_Charts" sheetId="6" r:id="rId3"/>
    <sheet name="Dashboard" sheetId="5" r:id="rId4"/>
  </sheets>
  <definedNames>
    <definedName name="_xlnm._FilterDatabase" localSheetId="1" hidden="1">Dashboard_Data!$B$9:$B$18</definedName>
    <definedName name="Slicer_Department">#N/A</definedName>
    <definedName name="Slicer_Department3">#N/A</definedName>
    <definedName name="Slicer_Visit_Year">#N/A</definedName>
    <definedName name="Slicer_Visit_Year3">#N/A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6" l="1" a="1"/>
  <c r="A47" i="6" s="1"/>
  <c r="A9" i="2" a="1"/>
  <c r="A9" i="2" s="1"/>
  <c r="B9" i="2" s="1"/>
  <c r="B47" i="6"/>
  <c r="I8" i="2"/>
  <c r="I7" i="2"/>
  <c r="I6" i="2"/>
  <c r="C5" i="2"/>
  <c r="B5" i="2"/>
  <c r="A5"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B49" i="6" l="1"/>
  <c r="B48" i="6"/>
  <c r="B56" i="6"/>
  <c r="B55" i="6"/>
  <c r="B54" i="6"/>
  <c r="B53" i="6"/>
  <c r="B52" i="6"/>
  <c r="B51" i="6"/>
  <c r="B50" i="6"/>
  <c r="F13" i="2"/>
  <c r="F11" i="2"/>
  <c r="F8" i="2"/>
  <c r="F9" i="2"/>
  <c r="F14" i="2"/>
  <c r="F10" i="2"/>
  <c r="F19" i="2"/>
  <c r="F18" i="2"/>
  <c r="F17" i="2"/>
  <c r="F16" i="2"/>
  <c r="F12" i="2"/>
  <c r="F15" i="2"/>
  <c r="B11" i="2"/>
  <c r="B10" i="2"/>
  <c r="B18" i="2"/>
  <c r="B17" i="2"/>
  <c r="B16" i="2"/>
  <c r="B15" i="2"/>
  <c r="B14" i="2"/>
  <c r="B13" i="2"/>
  <c r="B1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<sst xmlns="http://schemas.openxmlformats.org/spreadsheetml/2006/main" count="626" uniqueCount="197">
  <si>
    <t>Patient_ID</t>
  </si>
  <si>
    <t>Visit_Date</t>
  </si>
  <si>
    <t>Diagnosis</t>
  </si>
  <si>
    <t>Treatment</t>
  </si>
  <si>
    <t>Outcome</t>
  </si>
  <si>
    <t>Age</t>
  </si>
  <si>
    <t>Department</t>
  </si>
  <si>
    <t>P001</t>
  </si>
  <si>
    <t>Depression</t>
  </si>
  <si>
    <t>SSRIs</t>
  </si>
  <si>
    <t>Improved</t>
  </si>
  <si>
    <t>Psychiatry</t>
  </si>
  <si>
    <t>P002</t>
  </si>
  <si>
    <t>Counseling</t>
  </si>
  <si>
    <t>P003</t>
  </si>
  <si>
    <t>Hypertension</t>
  </si>
  <si>
    <t>Lifestyle Therapy</t>
  </si>
  <si>
    <t>Cardiology</t>
  </si>
  <si>
    <t>P004</t>
  </si>
  <si>
    <t>P005</t>
  </si>
  <si>
    <t>Osteoarthritis</t>
  </si>
  <si>
    <t>Joint Injections</t>
  </si>
  <si>
    <t>Stable</t>
  </si>
  <si>
    <t>Orthopedics</t>
  </si>
  <si>
    <t>P006</t>
  </si>
  <si>
    <t>Hypothyroidism</t>
  </si>
  <si>
    <t>Dietary Counseling</t>
  </si>
  <si>
    <t>Endocrinology</t>
  </si>
  <si>
    <t>P007</t>
  </si>
  <si>
    <t>Rheumatoid Arthritis</t>
  </si>
  <si>
    <t>NSAIDs</t>
  </si>
  <si>
    <t>Rheumatology</t>
  </si>
  <si>
    <t>P008</t>
  </si>
  <si>
    <t>COPD</t>
  </si>
  <si>
    <t>Pulmonary Rehabilitation</t>
  </si>
  <si>
    <t>Pulmonology</t>
  </si>
  <si>
    <t>P009</t>
  </si>
  <si>
    <t>Lifestyle Modification</t>
  </si>
  <si>
    <t>P010</t>
  </si>
  <si>
    <t>P011</t>
  </si>
  <si>
    <t>Coronary Artery Disease</t>
  </si>
  <si>
    <t>Aspirin + Statin</t>
  </si>
  <si>
    <t>P012</t>
  </si>
  <si>
    <t>P013</t>
  </si>
  <si>
    <t>Asthma</t>
  </si>
  <si>
    <t>Albuterol Inhaler</t>
  </si>
  <si>
    <t>P014</t>
  </si>
  <si>
    <t>Montelukast</t>
  </si>
  <si>
    <t>P015</t>
  </si>
  <si>
    <t>P016</t>
  </si>
  <si>
    <t>P017</t>
  </si>
  <si>
    <t>Diabetes Type 2</t>
  </si>
  <si>
    <t>P018</t>
  </si>
  <si>
    <t>P019</t>
  </si>
  <si>
    <t>Thyroid Monitoring</t>
  </si>
  <si>
    <t>P020</t>
  </si>
  <si>
    <t>Cognitive Behavioral Therapy</t>
  </si>
  <si>
    <t>P021</t>
  </si>
  <si>
    <t>P022</t>
  </si>
  <si>
    <t>Pain Management</t>
  </si>
  <si>
    <t>P023</t>
  </si>
  <si>
    <t>Worsened</t>
  </si>
  <si>
    <t>P024</t>
  </si>
  <si>
    <t>Chronic Kidney Disease</t>
  </si>
  <si>
    <t>Dialysis</t>
  </si>
  <si>
    <t>Nephrology</t>
  </si>
  <si>
    <t>P025</t>
  </si>
  <si>
    <t>Methotrexate</t>
  </si>
  <si>
    <t>P026</t>
  </si>
  <si>
    <t>Glipizide</t>
  </si>
  <si>
    <t>P027</t>
  </si>
  <si>
    <t>P028</t>
  </si>
  <si>
    <t>ACE Inhibitors</t>
  </si>
  <si>
    <t>P029</t>
  </si>
  <si>
    <t>P030</t>
  </si>
  <si>
    <t>Physical Therapy</t>
  </si>
  <si>
    <t>P031</t>
  </si>
  <si>
    <t>Losartan</t>
  </si>
  <si>
    <t>P032</t>
  </si>
  <si>
    <t>P033</t>
  </si>
  <si>
    <t>P034</t>
  </si>
  <si>
    <t>Lisinopril</t>
  </si>
  <si>
    <t>P035</t>
  </si>
  <si>
    <t>Amlodipine</t>
  </si>
  <si>
    <t>P036</t>
  </si>
  <si>
    <t>P037</t>
  </si>
  <si>
    <t>Steroids</t>
  </si>
  <si>
    <t>P038</t>
  </si>
  <si>
    <t>Fluticasone</t>
  </si>
  <si>
    <t>P039</t>
  </si>
  <si>
    <t>P040</t>
  </si>
  <si>
    <t>P041</t>
  </si>
  <si>
    <t>P042</t>
  </si>
  <si>
    <t>Beta Blockers</t>
  </si>
  <si>
    <t>P043</t>
  </si>
  <si>
    <t>P044</t>
  </si>
  <si>
    <t>P045</t>
  </si>
  <si>
    <t>P046</t>
  </si>
  <si>
    <t>P047</t>
  </si>
  <si>
    <t>P048</t>
  </si>
  <si>
    <t>P049</t>
  </si>
  <si>
    <t>P050</t>
  </si>
  <si>
    <t>Phosphate Binders</t>
  </si>
  <si>
    <t>P051</t>
  </si>
  <si>
    <t>Dietary Management</t>
  </si>
  <si>
    <t>P052</t>
  </si>
  <si>
    <t>P053</t>
  </si>
  <si>
    <t>P054</t>
  </si>
  <si>
    <t>P055</t>
  </si>
  <si>
    <t>Oxygen Therapy</t>
  </si>
  <si>
    <t>P056</t>
  </si>
  <si>
    <t>Levothyroxine</t>
  </si>
  <si>
    <t>P057</t>
  </si>
  <si>
    <t>P058</t>
  </si>
  <si>
    <t>P059</t>
  </si>
  <si>
    <t>P060</t>
  </si>
  <si>
    <t>P061</t>
  </si>
  <si>
    <t>P062</t>
  </si>
  <si>
    <t>P063</t>
  </si>
  <si>
    <t>P064</t>
  </si>
  <si>
    <t>P065</t>
  </si>
  <si>
    <t>P066</t>
  </si>
  <si>
    <t>P067</t>
  </si>
  <si>
    <t>P068</t>
  </si>
  <si>
    <t>Angioplasty</t>
  </si>
  <si>
    <t>P069</t>
  </si>
  <si>
    <t>P070</t>
  </si>
  <si>
    <t>P071</t>
  </si>
  <si>
    <t>P072</t>
  </si>
  <si>
    <t>P073</t>
  </si>
  <si>
    <t>P074</t>
  </si>
  <si>
    <t>P075</t>
  </si>
  <si>
    <t>Metformin</t>
  </si>
  <si>
    <t>P076</t>
  </si>
  <si>
    <t>P077</t>
  </si>
  <si>
    <t>P078</t>
  </si>
  <si>
    <t>P079</t>
  </si>
  <si>
    <t>P080</t>
  </si>
  <si>
    <t>Bronchodilators</t>
  </si>
  <si>
    <t>P081</t>
  </si>
  <si>
    <t>P082</t>
  </si>
  <si>
    <t>P083</t>
  </si>
  <si>
    <t>P084</t>
  </si>
  <si>
    <t>P085</t>
  </si>
  <si>
    <t>P086</t>
  </si>
  <si>
    <t>P087</t>
  </si>
  <si>
    <t>P088</t>
  </si>
  <si>
    <t>P089</t>
  </si>
  <si>
    <t>P090</t>
  </si>
  <si>
    <t>P091</t>
  </si>
  <si>
    <t>P092</t>
  </si>
  <si>
    <t>P093</t>
  </si>
  <si>
    <t>Biologics</t>
  </si>
  <si>
    <t>P094</t>
  </si>
  <si>
    <t>P095</t>
  </si>
  <si>
    <t>P096</t>
  </si>
  <si>
    <t>P097</t>
  </si>
  <si>
    <t>P098</t>
  </si>
  <si>
    <t>P099</t>
  </si>
  <si>
    <t>P100</t>
  </si>
  <si>
    <t>Visit_Year</t>
  </si>
  <si>
    <t>Visit_Month</t>
  </si>
  <si>
    <t>Total Patients</t>
  </si>
  <si>
    <t>Total Visits</t>
  </si>
  <si>
    <t>% Improved Patients</t>
  </si>
  <si>
    <t>Diagnosis Frequency Table</t>
  </si>
  <si>
    <t>Unique Diagnosis</t>
  </si>
  <si>
    <t>Frequency</t>
  </si>
  <si>
    <t>Outcome Breakdown</t>
  </si>
  <si>
    <t>Results</t>
  </si>
  <si>
    <t>Monthly Visit Trends</t>
  </si>
  <si>
    <t>Month</t>
  </si>
  <si>
    <t>Visits</t>
  </si>
  <si>
    <t>Jan</t>
  </si>
  <si>
    <t>Feb</t>
  </si>
  <si>
    <t>Mar</t>
  </si>
  <si>
    <t>Apr</t>
  </si>
  <si>
    <t>May</t>
  </si>
  <si>
    <t>Jun</t>
  </si>
  <si>
    <t>Jul</t>
  </si>
  <si>
    <t>Aug</t>
  </si>
  <si>
    <t>Sep</t>
  </si>
  <si>
    <t>Oct</t>
  </si>
  <si>
    <t>Nov</t>
  </si>
  <si>
    <t>Dec</t>
  </si>
  <si>
    <t>Data of Healthcare Table</t>
  </si>
  <si>
    <t>Column Labels</t>
  </si>
  <si>
    <t>Grand Total</t>
  </si>
  <si>
    <t>Row Labels</t>
  </si>
  <si>
    <t>Outcome Distribution by Diagnosis</t>
  </si>
  <si>
    <t>Improved %</t>
  </si>
  <si>
    <t>Patients per Department</t>
  </si>
  <si>
    <t>Outcome by Department</t>
  </si>
  <si>
    <t>Monthly Trend per Department</t>
  </si>
  <si>
    <t>Diagnosis Frequency</t>
  </si>
  <si>
    <t>Interactive Visualization Charts (Pivot Tables)</t>
  </si>
  <si>
    <t>Monthly Trend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</si>
</sst>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b/>
      <sz val="11"/>
      <color theme="3"/>
      <name val="Aptos Narrow"/>
      <family val="2"/>
      <scheme val="minor"/>
    </font>
    <font>
      <sz val="11"/>
      <color rgb="FF006100"/>
      <name val="Aptos Narrow"/>
      <family val="2"/>
      <scheme val="minor"/>
    </font>
    <font>
      <i/>
      <sz val="11"/>
      <color rgb="FF7F7F7F"/>
      <name val="Aptos Narrow"/>
      <family val="2"/>
      <scheme val="minor"/>
    </font>
    <font>
      <b/>
      <sz val="11"/>
      <color theme="1"/>
      <name val="Aptos Narrow"/>
      <family val="2"/>
      <scheme val="minor"/>
    </font>
    <font>
      <sz val="8"/>
      <name val="Aptos Narrow"/>
      <family val="2"/>
      <scheme val="minor"/>
    </font>
    <font>
      <sz val="10"/>
      <color theme="1"/>
      <name val="Arial Unicode MS"/>
    </font>
    <font>
      <b/>
      <sz val="18"/>
      <color theme="1"/>
      <name val="Aptos Narrow"/>
      <family val="2"/>
      <scheme val="minor"/>
    </font>
    <font>
      <b/>
      <sz val="16"/>
      <color theme="3" tint="0.499984740745262"/>
      <name val="Aptos Narrow"/>
      <family val="2"/>
      <scheme val="minor"/>
    </font>
    <font>
      <sz val="11"/>
      <color theme="3" tint="0.499984740745262"/>
      <name val="Aptos Narrow"/>
      <family val="2"/>
      <scheme val="minor"/>
    </font>
    <font>
      <b/>
      <sz val="12"/>
      <color theme="0"/>
      <name val="Aptos Narrow"/>
      <family val="2"/>
      <scheme val="minor"/>
    </font>
    <font>
      <sz val="11"/>
      <color theme="8" tint="0.39997558519241921"/>
      <name val="Aptos Narrow"/>
      <family val="2"/>
      <scheme val="minor"/>
    </font>
    <font>
      <b/>
      <i/>
      <sz val="11"/>
      <color rgb="FF7F7F7F"/>
      <name val="Aptos Narrow"/>
      <family val="2"/>
      <scheme val="minor"/>
    </font>
    <font>
      <b/>
      <i/>
      <sz val="12"/>
      <color rgb="FF7F7F7F"/>
      <name val="Aptos Narrow"/>
      <family val="2"/>
      <scheme val="minor"/>
    </font>
    <font>
      <b/>
      <sz val="22"/>
      <color theme="1"/>
      <name val="Aptos Narrow"/>
      <family val="2"/>
      <scheme val="minor"/>
    </font>
    <font>
      <b/>
      <sz val="20"/>
      <color theme="3" tint="0.249977111117893"/>
      <name val="Aptos Narrow"/>
      <family val="2"/>
      <scheme val="minor"/>
    </font>
    <font>
      <b/>
      <sz val="24"/>
      <color theme="1"/>
      <name val="Aptos Narrow"/>
      <family val="2"/>
      <scheme val="minor"/>
    </font>
    <font>
      <sz val="24"/>
      <color theme="1"/>
      <name val="Aptos Narrow"/>
      <family val="2"/>
      <scheme val="minor"/>
    </font>
    <font>
      <sz val="20"/>
      <color theme="1"/>
      <name val="Aptos Narrow"/>
      <family val="2"/>
      <scheme val="minor"/>
    </font>
    <font>
      <sz val="20"/>
      <color theme="3" tint="0.249977111117893"/>
      <name val="Aptos Narrow"/>
      <family val="2"/>
      <scheme val="minor"/>
    </font>
  </fonts>
  <fills count="8">
    <fill>
      <patternFill patternType="none"/>
    </fill>
    <fill>
      <patternFill patternType="gray125"/>
    </fill>
    <fill>
      <patternFill patternType="solid">
        <fgColor rgb="FFC6EFCE"/>
      </patternFill>
    </fill>
    <fill>
      <patternFill patternType="solid">
        <fgColor theme="0" tint="-4.9989318521683403E-2"/>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2C5E52"/>
        <bgColor indexed="64"/>
      </patternFill>
    </fill>
    <fill>
      <patternFill patternType="solid">
        <fgColor theme="0"/>
        <bgColor indexed="64"/>
      </patternFill>
    </fill>
  </fills>
  <borders count="8">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xf numFmtId="0" fontId="1" fillId="0" borderId="0" applyNumberFormat="0" applyFill="0" applyBorder="0" applyAlignment="0" applyProtection="0"/>
    <xf numFmtId="0" fontId="2" fillId="2" borderId="0" applyNumberFormat="0" applyBorder="0" applyAlignment="0" applyProtection="0"/>
    <xf numFmtId="0" fontId="3" fillId="0" borderId="0" applyNumberFormat="0" applyFill="0" applyBorder="0" applyAlignment="0" applyProtection="0"/>
  </cellStyleXfs>
  <cellXfs count="37">
    <xf numFmtId="0" fontId="0" fillId="0" borderId="0" xfId="0"/>
    <xf numFmtId="14" fontId="0" fillId="0" borderId="0" xfId="0" applyNumberFormat="1"/>
    <xf numFmtId="10" fontId="0" fillId="0" borderId="0" xfId="0" applyNumberFormat="1"/>
    <xf numFmtId="0" fontId="0" fillId="0" borderId="4" xfId="0" applyBorder="1"/>
    <xf numFmtId="0" fontId="0" fillId="0" borderId="1" xfId="0" applyBorder="1"/>
    <xf numFmtId="0" fontId="4" fillId="0" borderId="0" xfId="0" applyFont="1"/>
    <xf numFmtId="0" fontId="0" fillId="3" borderId="0" xfId="0" applyFill="1"/>
    <xf numFmtId="0" fontId="0" fillId="0" borderId="0" xfId="0" applyAlignment="1">
      <alignment horizontal="center"/>
    </xf>
    <xf numFmtId="0" fontId="6" fillId="0" borderId="0" xfId="0" applyFont="1" applyAlignment="1">
      <alignment horizontal="center" vertical="center" wrapText="1"/>
    </xf>
    <xf numFmtId="0" fontId="11" fillId="0" borderId="0" xfId="0" applyFont="1"/>
    <xf numFmtId="0" fontId="12" fillId="3" borderId="0" xfId="3" applyFont="1" applyFill="1" applyBorder="1" applyAlignment="1">
      <alignment horizontal="center"/>
    </xf>
    <xf numFmtId="0" fontId="13" fillId="3" borderId="0" xfId="3" applyFont="1" applyFill="1" applyBorder="1"/>
    <xf numFmtId="0" fontId="13" fillId="3" borderId="0" xfId="3" applyFont="1" applyFill="1" applyBorder="1" applyAlignment="1">
      <alignment horizontal="center"/>
    </xf>
    <xf numFmtId="0" fontId="1" fillId="0" borderId="0" xfId="1" applyBorder="1" applyAlignment="1">
      <alignment horizontal="center"/>
    </xf>
    <xf numFmtId="10" fontId="1" fillId="0" borderId="0" xfId="1" applyNumberFormat="1" applyBorder="1" applyAlignment="1">
      <alignment horizontal="center"/>
    </xf>
    <xf numFmtId="0" fontId="4" fillId="0" borderId="0" xfId="0" applyFont="1" applyAlignment="1">
      <alignment horizontal="left"/>
    </xf>
    <xf numFmtId="0" fontId="10" fillId="4" borderId="0" xfId="2" applyFont="1" applyFill="1" applyBorder="1" applyAlignment="1">
      <alignment horizontal="center"/>
    </xf>
    <xf numFmtId="0" fontId="0" fillId="0" borderId="0" xfId="0" pivotButton="1"/>
    <xf numFmtId="0" fontId="0" fillId="0" borderId="0" xfId="0" applyAlignment="1">
      <alignment horizontal="left"/>
    </xf>
    <xf numFmtId="10" fontId="0" fillId="0" borderId="5" xfId="0" applyNumberFormat="1" applyBorder="1"/>
    <xf numFmtId="10" fontId="0" fillId="0" borderId="3" xfId="0" applyNumberFormat="1" applyBorder="1"/>
    <xf numFmtId="0" fontId="10" fillId="4" borderId="0" xfId="2" applyFont="1" applyFill="1" applyBorder="1" applyAlignment="1">
      <alignment horizont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0" fillId="6" borderId="0" xfId="0" applyFill="1"/>
    <xf numFmtId="0" fontId="7" fillId="6" borderId="0" xfId="0" applyFont="1" applyFill="1" applyAlignment="1">
      <alignment horizontal="center" vertical="center"/>
    </xf>
    <xf numFmtId="0" fontId="9" fillId="6" borderId="0" xfId="0" applyFont="1" applyFill="1"/>
    <xf numFmtId="0" fontId="8" fillId="6" borderId="0" xfId="0" applyFont="1" applyFill="1" applyAlignment="1">
      <alignment horizontal="center" vertical="center"/>
    </xf>
    <xf numFmtId="0" fontId="0" fillId="0" borderId="0" xfId="0" applyNumberFormat="1"/>
    <xf numFmtId="0" fontId="0" fillId="0" borderId="2" xfId="0" applyBorder="1" applyAlignment="1">
      <alignment horizontal="center" vertical="center"/>
    </xf>
    <xf numFmtId="0" fontId="16" fillId="7" borderId="0" xfId="0" applyFont="1" applyFill="1" applyAlignment="1">
      <alignment horizontal="left" vertical="center"/>
    </xf>
    <xf numFmtId="0" fontId="17" fillId="7" borderId="0" xfId="0" applyFont="1" applyFill="1" applyAlignment="1">
      <alignment horizontal="left" vertical="center"/>
    </xf>
    <xf numFmtId="0" fontId="15" fillId="0" borderId="2" xfId="0" applyFont="1" applyBorder="1" applyAlignment="1">
      <alignment horizontal="center" vertical="center"/>
    </xf>
    <xf numFmtId="0" fontId="18" fillId="0" borderId="2" xfId="0" applyFont="1" applyBorder="1" applyAlignment="1">
      <alignment horizontal="center" vertical="center"/>
    </xf>
    <xf numFmtId="0" fontId="4" fillId="5" borderId="6" xfId="0" applyFont="1" applyFill="1" applyBorder="1"/>
    <xf numFmtId="0" fontId="4" fillId="5" borderId="7" xfId="0" applyFont="1" applyFill="1" applyBorder="1"/>
    <xf numFmtId="0" fontId="19" fillId="0" borderId="2" xfId="0" applyFont="1" applyBorder="1" applyAlignment="1">
      <alignment horizontal="center" vertical="center"/>
    </xf>
  </cellXfs>
  <cellStyles count="4">
    <cellStyle name="Explanatory Text" xfId="3" builtinId="53"/>
    <cellStyle name="Good" xfId="2" builtinId="26"/>
    <cellStyle name="Heading 4" xfId="1" builtinId="19"/>
    <cellStyle name="Normal" xfId="0" builtinId="0"/>
  </cellStyles>
  <dxfs count="3">
    <dxf>
      <numFmt numFmtId="0" formatCode="General"/>
    </dxf>
    <dxf>
      <numFmt numFmtId="0" formatCode="General"/>
    </dxf>
    <dxf>
      <numFmt numFmtId="19" formatCode="m/d/yyyy"/>
    </dxf>
  </dxfs>
  <tableStyles count="0" defaultTableStyle="TableStyleMedium2" defaultPivotStyle="PivotStyleLight16"/>
  <colors>
    <mruColors>
      <color rgb="FF2C5E52"/>
      <color rgb="FFFFFFCD"/>
      <color rgb="FF1557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Diagnosis</a:t>
            </a:r>
            <a:r>
              <a:rPr lang="en-US" baseline="0"/>
              <a:t>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barChart>
        <c:barDir val="bar"/>
        <c:grouping val="clustered"/>
        <c:varyColors val="0"/>
        <c:ser>
          <c:idx val="0"/>
          <c:order val="0"/>
          <c:spPr>
            <a:solidFill>
              <a:schemeClr val="accent1"/>
            </a:solidFill>
            <a:ln>
              <a:noFill/>
            </a:ln>
            <a:effectLst/>
          </c:spPr>
          <c:invertIfNegative val="0"/>
          <c:cat>
            <c:strRef>
              <c:f>Dashboard_Data!$A$8:$A$18</c:f>
              <c:strCache>
                <c:ptCount val="11"/>
                <c:pt idx="0">
                  <c:v>Unique Diagnosis</c:v>
                </c:pt>
                <c:pt idx="1">
                  <c:v>Depression</c:v>
                </c:pt>
                <c:pt idx="2">
                  <c:v>Hypertension</c:v>
                </c:pt>
                <c:pt idx="3">
                  <c:v>Osteoarthritis</c:v>
                </c:pt>
                <c:pt idx="4">
                  <c:v>Hypothyroidism</c:v>
                </c:pt>
                <c:pt idx="5">
                  <c:v>Rheumatoid Arthritis</c:v>
                </c:pt>
                <c:pt idx="6">
                  <c:v>COPD</c:v>
                </c:pt>
                <c:pt idx="7">
                  <c:v>Coronary Artery Disease</c:v>
                </c:pt>
                <c:pt idx="8">
                  <c:v>Asthma</c:v>
                </c:pt>
                <c:pt idx="9">
                  <c:v>Diabetes Type 2</c:v>
                </c:pt>
                <c:pt idx="10">
                  <c:v>Chronic Kidney Disease</c:v>
                </c:pt>
              </c:strCache>
            </c:strRef>
          </c:cat>
          <c:val>
            <c:numRef>
              <c:f>Dashboard_Data!$B$8:$B$18</c:f>
              <c:numCache>
                <c:formatCode>General</c:formatCode>
                <c:ptCount val="11"/>
                <c:pt idx="0">
                  <c:v>0</c:v>
                </c:pt>
                <c:pt idx="1">
                  <c:v>14</c:v>
                </c:pt>
                <c:pt idx="2">
                  <c:v>9</c:v>
                </c:pt>
                <c:pt idx="3">
                  <c:v>11</c:v>
                </c:pt>
                <c:pt idx="4">
                  <c:v>14</c:v>
                </c:pt>
                <c:pt idx="5">
                  <c:v>4</c:v>
                </c:pt>
                <c:pt idx="6">
                  <c:v>10</c:v>
                </c:pt>
                <c:pt idx="7">
                  <c:v>9</c:v>
                </c:pt>
                <c:pt idx="8">
                  <c:v>9</c:v>
                </c:pt>
                <c:pt idx="9">
                  <c:v>10</c:v>
                </c:pt>
                <c:pt idx="10">
                  <c:v>10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59C-4189-8FF9-79DBAE73D1DB}"/>
            </c:ext>
          </c:extLst>
        </c:ser>
        <c:dLbls>
          <c:showLegendKey val="0"/>
          <c:showVal val="0"/>
          <c:showCatName val="0"/>
          <c:showSerName val="0"/>
          <c:showPercent val="0"/>
          <c:showBubbleSize val="0"/>
        </c:dLbls>
        <c:gapWidth val="182"/>
        <c:axId val="403251632"/>
        <c:axId val="403264112"/>
      </c:barChart>
      <c:catAx>
        <c:axId val="40325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03264112"/>
        <c:crosses val="autoZero"/>
        <c:auto val="1"/>
        <c:lblAlgn val="ctr"/>
        <c:lblOffset val="100"/>
        <c:noMultiLvlLbl val="0"/>
      </c:catAx>
      <c:valAx>
        <c:axId val="40326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0325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rPr>
              <a:t>Patient</a:t>
            </a:r>
            <a:r>
              <a:rPr lang="en-US" b="0" baseline="0">
                <a:solidFill>
                  <a:schemeClr val="tx1"/>
                </a:solidFill>
              </a:rPr>
              <a:t> Outcomes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pieChart>
        <c:varyColors val="1"/>
        <c:ser>
          <c:idx val="0"/>
          <c:order val="0"/>
          <c:tx>
            <c:strRef>
              <c:f>Dashboard_Data!$I$5</c:f>
              <c:strCache>
                <c:ptCount val="1"/>
                <c:pt idx="0">
                  <c:v>Results</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4D86-4098-AF5E-FA928FDA126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945-4973-8911-7E1D81F5404F}"/>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D945-4973-8911-7E1D81F540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Dashboard_Data!$H$6:$H$8</c:f>
              <c:strCache>
                <c:ptCount val="3"/>
                <c:pt idx="0">
                  <c:v>Improved</c:v>
                </c:pt>
                <c:pt idx="1">
                  <c:v>Stable</c:v>
                </c:pt>
                <c:pt idx="2">
                  <c:v>Worsened</c:v>
                </c:pt>
              </c:strCache>
            </c:strRef>
          </c:cat>
          <c:val>
            <c:numRef>
              <c:f>Dashboard_Data!$I$6:$I$8</c:f>
              <c:numCache>
                <c:formatCode>General</c:formatCode>
                <c:ptCount val="3"/>
                <c:pt idx="0">
                  <c:v>57</c:v>
                </c:pt>
                <c:pt idx="1">
                  <c:v>32</c:v>
                </c:pt>
                <c:pt idx="2">
                  <c:v>11</c:v>
                </c:pt>
              </c:numCache>
            </c:numRef>
          </c:val>
          <c:extLst>
            <c:ext xmlns:c16="http://schemas.microsoft.com/office/drawing/2014/chart" uri="{C3380CC4-5D6E-409C-BE32-E72D297353CC}">
              <c16:uniqueId val="{00000000-4D86-4098-AF5E-FA928FDA126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Visits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lineChart>
        <c:grouping val="standard"/>
        <c:varyColors val="0"/>
        <c:ser>
          <c:idx val="0"/>
          <c:order val="0"/>
          <c:tx>
            <c:strRef>
              <c:f>Dashboard_Data!$F$7</c:f>
              <c:strCache>
                <c:ptCount val="1"/>
                <c:pt idx="0">
                  <c:v>Visits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Dashboard_Data!$E$8:$E$19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Dashboard_Data!$F$8:$F$19</c:f>
              <c:numCache>
                <c:formatCode>General</c:formatCode>
                <c:ptCount val="12"/>
                <c:pt idx="0">
                  <c:v>13</c:v>
                </c:pt>
                <c:pt idx="1">
                  <c:v>6</c:v>
                </c:pt>
                <c:pt idx="2">
                  <c:v>9</c:v>
                </c:pt>
                <c:pt idx="3">
                  <c:v>9</c:v>
                </c:pt>
                <c:pt idx="4">
                  <c:v>9</c:v>
                </c:pt>
                <c:pt idx="5">
                  <c:v>6</c:v>
                </c:pt>
                <c:pt idx="6">
                  <c:v>5</c:v>
                </c:pt>
                <c:pt idx="7">
                  <c:v>10</c:v>
                </c:pt>
                <c:pt idx="8">
                  <c:v>5</c:v>
                </c:pt>
                <c:pt idx="9">
                  <c:v>7</c:v>
                </c:pt>
                <c:pt idx="10">
                  <c:v>11</c:v>
                </c:pt>
                <c:pt idx="11">
                  <c:v>10</c:v>
                </c:pt>
              </c:numCache>
            </c:numRef>
          </c:val>
          <c:smooth val="0"/>
          <c:extLst>
            <c:ext xmlns:c16="http://schemas.microsoft.com/office/drawing/2014/chart" uri="{C3380CC4-5D6E-409C-BE32-E72D297353CC}">
              <c16:uniqueId val="{00000000-F69E-4520-ACB7-91153DC1B97B}"/>
            </c:ext>
          </c:extLst>
        </c:ser>
        <c:dLbls>
          <c:showLegendKey val="0"/>
          <c:showVal val="0"/>
          <c:showCatName val="0"/>
          <c:showSerName val="0"/>
          <c:showPercent val="0"/>
          <c:showBubbleSize val="0"/>
        </c:dLbls>
        <c:smooth val="0"/>
        <c:axId val="863442576"/>
        <c:axId val="863453136"/>
      </c:lineChart>
      <c:catAx>
        <c:axId val="86344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863453136"/>
        <c:crosses val="autoZero"/>
        <c:auto val="1"/>
        <c:lblAlgn val="ctr"/>
        <c:lblOffset val="100"/>
        <c:noMultiLvlLbl val="0"/>
      </c:catAx>
      <c:valAx>
        <c:axId val="86345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86344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[Book1.xlsx]Dashboard_Charts!PivotTable35</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Dashboard_Charts!$B$7:$B$8</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Dashboard_Charts!$B$9</c:f>
              <c:numCache>
                <c:formatCode>General</c:formatCode>
                <c:ptCount val="1"/>
                <c:pt idx="0">
                  <c:v>9</c:v>
                </c:pt>
              </c:numCache>
            </c:numRef>
          </c:val>
          <c:extLst>
            <c:ext xmlns:c16="http://schemas.microsoft.com/office/drawing/2014/chart" uri="{C3380CC4-5D6E-409C-BE32-E72D297353CC}">
              <c16:uniqueId val="{0000000A-0332-465F-ADA4-4D76287E20C9}"/>
            </c:ext>
          </c:extLst>
        </c:ser>
        <c:ser>
          <c:idx val="1"/>
          <c:order val="1"/>
          <c:tx>
            <c:strRef>
              <c:f>Dashboard_Charts!$C$7:$C$8</c:f>
              <c:strCache>
                <c:ptCount val="1"/>
                <c:pt idx="0">
                  <c:v>Chronic Kidney Disease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Dashboard_Charts!$C$9</c:f>
              <c:numCache>
                <c:formatCode>General</c:formatCode>
                <c:ptCount val="1"/>
                <c:pt idx="0">
                  <c:v>10</c:v>
                </c:pt>
              </c:numCache>
            </c:numRef>
          </c:val>
          <c:extLst>
            <c:ext xmlns:c16="http://schemas.microsoft.com/office/drawing/2014/chart" uri="{C3380CC4-5D6E-409C-BE32-E72D297353CC}">
              <c16:uniqueId val="{00000092-0332-465F-ADA4-4D76287E20C9}"/>
            </c:ext>
          </c:extLst>
        </c:ser>
        <c:ser>
          <c:idx val="2"/>
          <c:order val="2"/>
          <c:tx>
            <c:strRef>
              <c:f>Dashboard_Charts!$D$7:$D$8</c:f>
              <c:strCache>
                <c:ptCount val="1"/>
                <c:pt idx="0">
                  <c:v>COPD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Dashboard_Charts!$D$9</c:f>
              <c:numCache>
                <c:formatCode>General</c:formatCode>
                <c:ptCount val="1"/>
                <c:pt idx="0">
                  <c:v>10</c:v>
                </c:pt>
              </c:numCache>
            </c:numRef>
          </c:val>
          <c:extLst>
            <c:ext xmlns:c16="http://schemas.microsoft.com/office/drawing/2014/chart" uri="{C3380CC4-5D6E-409C-BE32-E72D297353CC}">
              <c16:uniqueId val="{00000093-0332-465F-ADA4-4D76287E20C9}"/>
            </c:ext>
          </c:extLst>
        </c:ser>
        <c:ser>
          <c:idx val="3"/>
          <c:order val="3"/>
          <c:tx>
            <c:strRef>
              <c:f>Dashboard_Charts!$E$7:$E$8</c:f>
              <c:strCache>
                <c:ptCount val="1"/>
                <c:pt idx="0">
                  <c:v>Coronary Artery Disease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Dashboard_Charts!$E$9</c:f>
              <c:numCache>
                <c:formatCode>General</c:formatCode>
                <c:ptCount val="1"/>
                <c:pt idx="0">
                  <c:v>9</c:v>
                </c:pt>
              </c:numCache>
            </c:numRef>
          </c:val>
          <c:extLst>
            <c:ext xmlns:c16="http://schemas.microsoft.com/office/drawing/2014/chart" uri="{C3380CC4-5D6E-409C-BE32-E72D297353CC}">
              <c16:uniqueId val="{00000094-0332-465F-ADA4-4D76287E20C9}"/>
            </c:ext>
          </c:extLst>
        </c:ser>
        <c:ser>
          <c:idx val="4"/>
          <c:order val="4"/>
          <c:tx>
            <c:strRef>
              <c:f>Dashboard_Charts!$F$7:$F$8</c:f>
              <c:strCache>
                <c:ptCount val="1"/>
                <c:pt idx="0">
                  <c:v>Depression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Dashboard_Charts!$F$9</c:f>
              <c:numCache>
                <c:formatCode>General</c:formatCode>
                <c:ptCount val="1"/>
                <c:pt idx="0">
                  <c:v>14</c:v>
                </c:pt>
              </c:numCache>
            </c:numRef>
          </c:val>
          <c:extLst>
            <c:ext xmlns:c16="http://schemas.microsoft.com/office/drawing/2014/chart" uri="{C3380CC4-5D6E-409C-BE32-E72D297353CC}">
              <c16:uniqueId val="{00000095-0332-465F-ADA4-4D76287E20C9}"/>
            </c:ext>
          </c:extLst>
        </c:ser>
        <c:ser>
          <c:idx val="5"/>
          <c:order val="5"/>
          <c:tx>
            <c:strRef>
              <c:f>Dashboard_Charts!$G$7:$G$8</c:f>
              <c:strCache>
                <c:ptCount val="1"/>
                <c:pt idx="0">
                  <c:v>Diabetes Type 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Dashboard_Charts!$G$9</c:f>
              <c:numCache>
                <c:formatCode>General</c:formatCode>
                <c:ptCount val="1"/>
                <c:pt idx="0">
                  <c:v>10</c:v>
                </c:pt>
              </c:numCache>
            </c:numRef>
          </c:val>
          <c:extLst>
            <c:ext xmlns:c16="http://schemas.microsoft.com/office/drawing/2014/chart" uri="{C3380CC4-5D6E-409C-BE32-E72D297353CC}">
              <c16:uniqueId val="{00000096-0332-465F-ADA4-4D76287E20C9}"/>
            </c:ext>
          </c:extLst>
        </c:ser>
        <c:ser>
          <c:idx val="6"/>
          <c:order val="6"/>
          <c:tx>
            <c:strRef>
              <c:f>Dashboard_Charts!$H$7:$H$8</c:f>
              <c:strCache>
                <c:ptCount val="1"/>
                <c:pt idx="0">
                  <c:v>Hypertension</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Dashboard_Charts!$H$9</c:f>
              <c:numCache>
                <c:formatCode>General</c:formatCode>
                <c:ptCount val="1"/>
                <c:pt idx="0">
                  <c:v>9</c:v>
                </c:pt>
              </c:numCache>
            </c:numRef>
          </c:val>
          <c:extLst>
            <c:ext xmlns:c16="http://schemas.microsoft.com/office/drawing/2014/chart" uri="{C3380CC4-5D6E-409C-BE32-E72D297353CC}">
              <c16:uniqueId val="{00000097-0332-465F-ADA4-4D76287E20C9}"/>
            </c:ext>
          </c:extLst>
        </c:ser>
        <c:ser>
          <c:idx val="7"/>
          <c:order val="7"/>
          <c:tx>
            <c:strRef>
              <c:f>Dashboard_Charts!$I$7:$I$8</c:f>
              <c:strCache>
                <c:ptCount val="1"/>
                <c:pt idx="0">
                  <c:v>Hypothyroidism</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Dashboard_Charts!$I$9</c:f>
              <c:numCache>
                <c:formatCode>General</c:formatCode>
                <c:ptCount val="1"/>
                <c:pt idx="0">
                  <c:v>14</c:v>
                </c:pt>
              </c:numCache>
            </c:numRef>
          </c:val>
          <c:extLst>
            <c:ext xmlns:c16="http://schemas.microsoft.com/office/drawing/2014/chart" uri="{C3380CC4-5D6E-409C-BE32-E72D297353CC}">
              <c16:uniqueId val="{00000098-0332-465F-ADA4-4D76287E20C9}"/>
            </c:ext>
          </c:extLst>
        </c:ser>
        <c:ser>
          <c:idx val="8"/>
          <c:order val="8"/>
          <c:tx>
            <c:strRef>
              <c:f>Dashboard_Charts!$J$7:$J$8</c:f>
              <c:strCache>
                <c:ptCount val="1"/>
                <c:pt idx="0">
                  <c:v>Osteoarthritis</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Dashboard_Charts!$J$9</c:f>
              <c:numCache>
                <c:formatCode>General</c:formatCode>
                <c:ptCount val="1"/>
                <c:pt idx="0">
                  <c:v>11</c:v>
                </c:pt>
              </c:numCache>
            </c:numRef>
          </c:val>
          <c:extLst>
            <c:ext xmlns:c16="http://schemas.microsoft.com/office/drawing/2014/chart" uri="{C3380CC4-5D6E-409C-BE32-E72D297353CC}">
              <c16:uniqueId val="{00000099-0332-465F-ADA4-4D76287E20C9}"/>
            </c:ext>
          </c:extLst>
        </c:ser>
        <c:ser>
          <c:idx val="9"/>
          <c:order val="9"/>
          <c:tx>
            <c:strRef>
              <c:f>Dashboard_Charts!$K$7:$K$8</c:f>
              <c:strCache>
                <c:ptCount val="1"/>
                <c:pt idx="0">
                  <c:v>Rheumatoid Arthritis</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Dashboard_Charts!$K$9</c:f>
              <c:numCache>
                <c:formatCode>General</c:formatCode>
                <c:ptCount val="1"/>
                <c:pt idx="0">
                  <c:v>4</c:v>
                </c:pt>
              </c:numCache>
            </c:numRef>
          </c:val>
          <c:extLst>
            <c:ext xmlns:c16="http://schemas.microsoft.com/office/drawing/2014/chart" uri="{C3380CC4-5D6E-409C-BE32-E72D297353CC}">
              <c16:uniqueId val="{0000009A-0332-465F-ADA4-4D76287E20C9}"/>
            </c:ext>
          </c:extLst>
        </c:ser>
        <c:dLbls>
          <c:dLblPos val="outEnd"/>
          <c:showLegendKey val="0"/>
          <c:showVal val="1"/>
          <c:showCatName val="0"/>
          <c:showSerName val="0"/>
          <c:showPercent val="0"/>
          <c:showBubbleSize val="0"/>
        </c:dLbls>
        <c:gapWidth val="100"/>
        <c:axId val="1874412864"/>
        <c:axId val="1874413344"/>
      </c:barChart>
      <c:catAx>
        <c:axId val="1874412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874413344"/>
        <c:crosses val="autoZero"/>
        <c:auto val="1"/>
        <c:lblAlgn val="ctr"/>
        <c:lblOffset val="100"/>
        <c:noMultiLvlLbl val="0"/>
      </c:catAx>
      <c:valAx>
        <c:axId val="187441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87441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[Book1.xlsx]Dashboard_Charts!Outcome Distribution by Diagnosis</c:name>
    <c:fmtId val="0"/>
  </c:pivotSource>
  <c:chart>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Dashboard_Charts!$B$29:$B$30</c:f>
              <c:strCache>
                <c:ptCount val="1"/>
                <c:pt idx="0">
                  <c:v>Improved</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Dashboard_Charts!$A$31:$A$41</c:f>
              <c:strCache>
                <c:ptCount val="10"/>
                <c:pt idx="0">
                  <c:v>Asthma</c:v>
                </c:pt>
                <c:pt idx="1">
                  <c:v>Chronic Kidney Disease</c:v>
                </c:pt>
                <c:pt idx="2">
                  <c:v>COPD</c:v>
                </c:pt>
                <c:pt idx="3">
                  <c:v>Coronary Artery Disease</c:v>
                </c:pt>
                <c:pt idx="4">
                  <c:v>Depression</c:v>
                </c:pt>
                <c:pt idx="5">
                  <c:v>Diabetes Type 2</c:v>
                </c:pt>
                <c:pt idx="6">
                  <c:v>Hypertension</c:v>
                </c:pt>
                <c:pt idx="7">
                  <c:v>Hypothyroidism</c:v>
                </c:pt>
                <c:pt idx="8">
                  <c:v>Osteoarthritis</c:v>
                </c:pt>
                <c:pt idx="9">
                  <c:v>Rheumatoid Arthritis</c:v>
                </c:pt>
              </c:strCache>
            </c:strRef>
          </c:cat>
          <c:val>
            <c:numRef>
              <c:f>Dashboard_Charts!$B$31:$B$41</c:f>
              <c:numCache>
                <c:formatCode>General</c:formatCode>
                <c:ptCount val="10"/>
                <c:pt idx="0">
                  <c:v>5</c:v>
                </c:pt>
                <c:pt idx="1">
                  <c:v>4</c:v>
                </c:pt>
                <c:pt idx="2">
                  <c:v>5</c:v>
                </c:pt>
                <c:pt idx="3">
                  <c:v>5</c:v>
                </c:pt>
                <c:pt idx="4">
                  <c:v>10</c:v>
                </c:pt>
                <c:pt idx="5">
                  <c:v>5</c:v>
                </c:pt>
                <c:pt idx="6">
                  <c:v>5</c:v>
                </c:pt>
                <c:pt idx="7">
                  <c:v>9</c:v>
                </c:pt>
                <c:pt idx="8">
                  <c:v>5</c:v>
                </c:pt>
                <c:pt idx="9">
                  <c:v>4</c:v>
                </c:pt>
              </c:numCache>
            </c:numRef>
          </c:val>
          <c:extLst>
            <c:ext xmlns:c16="http://schemas.microsoft.com/office/drawing/2014/chart" uri="{C3380CC4-5D6E-409C-BE32-E72D297353CC}">
              <c16:uniqueId val="{00000000-6742-4F28-9052-AE0B3FCCE6B9}"/>
            </c:ext>
          </c:extLst>
        </c:ser>
        <c:ser>
          <c:idx val="1"/>
          <c:order val="1"/>
          <c:tx>
            <c:strRef>
              <c:f>Dashboard_Charts!$C$29:$C$30</c:f>
              <c:strCache>
                <c:ptCount val="1"/>
                <c:pt idx="0">
                  <c:v>Stable</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Dashboard_Charts!$A$31:$A$41</c:f>
              <c:strCache>
                <c:ptCount val="10"/>
                <c:pt idx="0">
                  <c:v>Asthma</c:v>
                </c:pt>
                <c:pt idx="1">
                  <c:v>Chronic Kidney Disease</c:v>
                </c:pt>
                <c:pt idx="2">
                  <c:v>COPD</c:v>
                </c:pt>
                <c:pt idx="3">
                  <c:v>Coronary Artery Disease</c:v>
                </c:pt>
                <c:pt idx="4">
                  <c:v>Depression</c:v>
                </c:pt>
                <c:pt idx="5">
                  <c:v>Diabetes Type 2</c:v>
                </c:pt>
                <c:pt idx="6">
                  <c:v>Hypertension</c:v>
                </c:pt>
                <c:pt idx="7">
                  <c:v>Hypothyroidism</c:v>
                </c:pt>
                <c:pt idx="8">
                  <c:v>Osteoarthritis</c:v>
                </c:pt>
                <c:pt idx="9">
                  <c:v>Rheumatoid Arthritis</c:v>
                </c:pt>
              </c:strCache>
            </c:strRef>
          </c:cat>
          <c:val>
            <c:numRef>
              <c:f>Dashboard_Charts!$C$31:$C$41</c:f>
              <c:numCache>
                <c:formatCode>General</c:formatCode>
                <c:ptCount val="10"/>
                <c:pt idx="0">
                  <c:v>3</c:v>
                </c:pt>
                <c:pt idx="1">
                  <c:v>5</c:v>
                </c:pt>
                <c:pt idx="2">
                  <c:v>3</c:v>
                </c:pt>
                <c:pt idx="3">
                  <c:v>4</c:v>
                </c:pt>
                <c:pt idx="4">
                  <c:v>3</c:v>
                </c:pt>
                <c:pt idx="5">
                  <c:v>4</c:v>
                </c:pt>
                <c:pt idx="6">
                  <c:v>3</c:v>
                </c:pt>
                <c:pt idx="7">
                  <c:v>3</c:v>
                </c:pt>
                <c:pt idx="8">
                  <c:v>4</c:v>
                </c:pt>
              </c:numCache>
            </c:numRef>
          </c:val>
          <c:extLst>
            <c:ext xmlns:c16="http://schemas.microsoft.com/office/drawing/2014/chart" uri="{C3380CC4-5D6E-409C-BE32-E72D297353CC}">
              <c16:uniqueId val="{00000007-AA0B-40C8-97ED-F55286BCD9DA}"/>
            </c:ext>
          </c:extLst>
        </c:ser>
        <c:ser>
          <c:idx val="2"/>
          <c:order val="2"/>
          <c:tx>
            <c:strRef>
              <c:f>Dashboard_Charts!$D$29:$D$30</c:f>
              <c:strCache>
                <c:ptCount val="1"/>
                <c:pt idx="0">
                  <c:v>Worsened</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Dashboard_Charts!$A$31:$A$41</c:f>
              <c:strCache>
                <c:ptCount val="10"/>
                <c:pt idx="0">
                  <c:v>Asthma</c:v>
                </c:pt>
                <c:pt idx="1">
                  <c:v>Chronic Kidney Disease</c:v>
                </c:pt>
                <c:pt idx="2">
                  <c:v>COPD</c:v>
                </c:pt>
                <c:pt idx="3">
                  <c:v>Coronary Artery Disease</c:v>
                </c:pt>
                <c:pt idx="4">
                  <c:v>Depression</c:v>
                </c:pt>
                <c:pt idx="5">
                  <c:v>Diabetes Type 2</c:v>
                </c:pt>
                <c:pt idx="6">
                  <c:v>Hypertension</c:v>
                </c:pt>
                <c:pt idx="7">
                  <c:v>Hypothyroidism</c:v>
                </c:pt>
                <c:pt idx="8">
                  <c:v>Osteoarthritis</c:v>
                </c:pt>
                <c:pt idx="9">
                  <c:v>Rheumatoid Arthritis</c:v>
                </c:pt>
              </c:strCache>
            </c:strRef>
          </c:cat>
          <c:val>
            <c:numRef>
              <c:f>Dashboard_Charts!$D$31:$D$41</c:f>
              <c:numCache>
                <c:formatCode>General</c:formatCode>
                <c:ptCount val="10"/>
                <c:pt idx="0">
                  <c:v>1</c:v>
                </c:pt>
                <c:pt idx="1">
                  <c:v>1</c:v>
                </c:pt>
                <c:pt idx="2">
                  <c:v>2</c:v>
                </c:pt>
                <c:pt idx="4">
                  <c:v>1</c:v>
                </c:pt>
                <c:pt idx="5">
                  <c:v>1</c:v>
                </c:pt>
                <c:pt idx="6">
                  <c:v>1</c:v>
                </c:pt>
                <c:pt idx="7">
                  <c:v>2</c:v>
                </c:pt>
                <c:pt idx="8">
                  <c:v>2</c:v>
                </c:pt>
              </c:numCache>
            </c:numRef>
          </c:val>
          <c:extLst>
            <c:ext xmlns:c16="http://schemas.microsoft.com/office/drawing/2014/chart" uri="{C3380CC4-5D6E-409C-BE32-E72D297353CC}">
              <c16:uniqueId val="{00000008-AA0B-40C8-97ED-F55286BCD9DA}"/>
            </c:ext>
          </c:extLst>
        </c:ser>
        <c:dLbls>
          <c:showLegendKey val="0"/>
          <c:showVal val="0"/>
          <c:showCatName val="0"/>
          <c:showSerName val="0"/>
          <c:showPercent val="0"/>
          <c:showBubbleSize val="0"/>
        </c:dLbls>
        <c:gapWidth val="150"/>
        <c:overlap val="100"/>
        <c:axId val="913871168"/>
        <c:axId val="913868288"/>
      </c:barChart>
      <c:catAx>
        <c:axId val="913871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913868288"/>
        <c:crosses val="autoZero"/>
        <c:auto val="1"/>
        <c:lblAlgn val="ctr"/>
        <c:lblOffset val="100"/>
        <c:noMultiLvlLbl val="0"/>
      </c:catAx>
      <c:valAx>
        <c:axId val="91386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9138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barChart>
        <c:barDir val="col"/>
        <c:grouping val="clustered"/>
        <c:varyColors val="0"/>
        <c:ser>
          <c:idx val="0"/>
          <c:order val="0"/>
          <c:tx>
            <c:strRef>
              <c:f>Dashboard_Charts!$B$46</c:f>
              <c:strCache>
                <c:ptCount val="1"/>
                <c:pt idx="0">
                  <c:v>Improved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Dashboard_Charts!$A$47:$A$56</c:f>
              <c:strCache>
                <c:ptCount val="10"/>
                <c:pt idx="0">
                  <c:v>Depression</c:v>
                </c:pt>
                <c:pt idx="1">
                  <c:v>Hypertension</c:v>
                </c:pt>
                <c:pt idx="2">
                  <c:v>Osteoarthritis</c:v>
                </c:pt>
                <c:pt idx="3">
                  <c:v>Hypothyroidism</c:v>
                </c:pt>
                <c:pt idx="4">
                  <c:v>Rheumatoid Arthritis</c:v>
                </c:pt>
                <c:pt idx="5">
                  <c:v>COPD</c:v>
                </c:pt>
                <c:pt idx="6">
                  <c:v>Coronary Artery Disease</c:v>
                </c:pt>
                <c:pt idx="7">
                  <c:v>Asthma</c:v>
                </c:pt>
                <c:pt idx="8">
                  <c:v>Diabetes Type 2</c:v>
                </c:pt>
                <c:pt idx="9">
                  <c:v>Chronic Kidney Disease</c:v>
                </c:pt>
              </c:strCache>
            </c:strRef>
          </c:cat>
          <c:val>
            <c:numRef>
              <c:f>Dashboard_Charts!$B$47:$B$56</c:f>
              <c:numCache>
                <c:formatCode>0.00%</c:formatCode>
                <c:ptCount val="10"/>
                <c:pt idx="0">
                  <c:v>0.7142857142857143</c:v>
                </c:pt>
                <c:pt idx="1">
                  <c:v>0.55555555555555558</c:v>
                </c:pt>
                <c:pt idx="2">
                  <c:v>0.45454545454545453</c:v>
                </c:pt>
                <c:pt idx="3">
                  <c:v>0.6428571428571429</c:v>
                </c:pt>
                <c:pt idx="4">
                  <c:v>1</c:v>
                </c:pt>
                <c:pt idx="5">
                  <c:v>0.5</c:v>
                </c:pt>
                <c:pt idx="6">
                  <c:v>0.55555555555555558</c:v>
                </c:pt>
                <c:pt idx="7">
                  <c:v>0.55555555555555558</c:v>
                </c:pt>
                <c:pt idx="8">
                  <c:v>0.5</c:v>
                </c:pt>
                <c:pt idx="9">
                  <c:v>0.4</c:v>
                </c:pt>
              </c:numCache>
            </c:numRef>
          </c:val>
          <c:extLst>
            <c:ext xmlns:c16="http://schemas.microsoft.com/office/drawing/2014/chart" uri="{C3380CC4-5D6E-409C-BE32-E72D297353CC}">
              <c16:uniqueId val="{00000000-D1CC-410E-B426-5C5D22627352}"/>
            </c:ext>
          </c:extLst>
        </c:ser>
        <c:dLbls>
          <c:showLegendKey val="0"/>
          <c:showVal val="0"/>
          <c:showCatName val="0"/>
          <c:showSerName val="0"/>
          <c:showPercent val="0"/>
          <c:showBubbleSize val="0"/>
        </c:dLbls>
        <c:gapWidth val="219"/>
        <c:overlap val="-27"/>
        <c:axId val="779144944"/>
        <c:axId val="779145424"/>
      </c:barChart>
      <c:catAx>
        <c:axId val="77914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79145424"/>
        <c:crosses val="autoZero"/>
        <c:auto val="1"/>
        <c:lblAlgn val="ctr"/>
        <c:lblOffset val="100"/>
        <c:noMultiLvlLbl val="0"/>
      </c:catAx>
      <c:valAx>
        <c:axId val="779145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7914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[Book1.xlsx]Dashboard_Charts!PivotTable38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Patients</a:t>
            </a:r>
            <a:r>
              <a:rPr lang="en-US" baseline="0"/>
              <a:t> per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plus"/>
          <c:size val="5"/>
          <c:spPr>
            <a:no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Dashboard_Charts!$B$62:$B$63</c:f>
              <c:strCache>
                <c:ptCount val="1"/>
                <c:pt idx="0">
                  <c:v>Cardiology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Dashboard_Charts!$B$64</c:f>
              <c:numCache>
                <c:formatCode>0.00%</c:formatCode>
                <c:ptCount val="1"/>
                <c:pt idx="0">
                  <c:v>0.18</c:v>
                </c:pt>
              </c:numCache>
            </c:numRef>
          </c:val>
          <c:extLst>
            <c:ext xmlns:c16="http://schemas.microsoft.com/office/drawing/2014/chart" uri="{C3380CC4-5D6E-409C-BE32-E72D297353CC}">
              <c16:uniqueId val="{00000000-71BD-49A2-A4B6-6FCE10F8DAF8}"/>
            </c:ext>
          </c:extLst>
        </c:ser>
        <c:ser>
          <c:idx val="1"/>
          <c:order val="1"/>
          <c:tx>
            <c:strRef>
              <c:f>Dashboard_Charts!$C$62:$C$63</c:f>
              <c:strCache>
                <c:ptCount val="1"/>
                <c:pt idx="0">
                  <c:v>Endocrinology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Dashboard_Charts!$C$64</c:f>
              <c:numCache>
                <c:formatCode>0.00%</c:formatCode>
                <c:ptCount val="1"/>
                <c:pt idx="0">
                  <c:v>0.24</c:v>
                </c:pt>
              </c:numCache>
            </c:numRef>
          </c:val>
          <c:extLst>
            <c:ext xmlns:c16="http://schemas.microsoft.com/office/drawing/2014/chart" uri="{C3380CC4-5D6E-409C-BE32-E72D297353CC}">
              <c16:uniqueId val="{00000059-CCFA-418F-960C-3C09FBD10195}"/>
            </c:ext>
          </c:extLst>
        </c:ser>
        <c:ser>
          <c:idx val="2"/>
          <c:order val="2"/>
          <c:tx>
            <c:strRef>
              <c:f>Dashboard_Charts!$D$62:$D$63</c:f>
              <c:strCache>
                <c:ptCount val="1"/>
                <c:pt idx="0">
                  <c:v>Nephrology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Dashboard_Charts!$D$64</c:f>
              <c:numCache>
                <c:formatCode>0.00%</c:formatCode>
                <c:ptCount val="1"/>
                <c:pt idx="0">
                  <c:v>0.1</c:v>
                </c:pt>
              </c:numCache>
            </c:numRef>
          </c:val>
          <c:extLst>
            <c:ext xmlns:c16="http://schemas.microsoft.com/office/drawing/2014/chart" uri="{C3380CC4-5D6E-409C-BE32-E72D297353CC}">
              <c16:uniqueId val="{0000005A-CCFA-418F-960C-3C09FBD10195}"/>
            </c:ext>
          </c:extLst>
        </c:ser>
        <c:ser>
          <c:idx val="3"/>
          <c:order val="3"/>
          <c:tx>
            <c:strRef>
              <c:f>Dashboard_Charts!$E$62:$E$63</c:f>
              <c:strCache>
                <c:ptCount val="1"/>
                <c:pt idx="0">
                  <c:v>Orthopedics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Dashboard_Charts!$E$64</c:f>
              <c:numCache>
                <c:formatCode>0.00%</c:formatCode>
                <c:ptCount val="1"/>
                <c:pt idx="0">
                  <c:v>0.11</c:v>
                </c:pt>
              </c:numCache>
            </c:numRef>
          </c:val>
          <c:extLst>
            <c:ext xmlns:c16="http://schemas.microsoft.com/office/drawing/2014/chart" uri="{C3380CC4-5D6E-409C-BE32-E72D297353CC}">
              <c16:uniqueId val="{0000005B-CCFA-418F-960C-3C09FBD10195}"/>
            </c:ext>
          </c:extLst>
        </c:ser>
        <c:ser>
          <c:idx val="4"/>
          <c:order val="4"/>
          <c:tx>
            <c:strRef>
              <c:f>Dashboard_Charts!$F$62:$F$63</c:f>
              <c:strCache>
                <c:ptCount val="1"/>
                <c:pt idx="0">
                  <c:v>Psychiatry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Dashboard_Charts!$F$64</c:f>
              <c:numCache>
                <c:formatCode>0.00%</c:formatCode>
                <c:ptCount val="1"/>
                <c:pt idx="0">
                  <c:v>0.14000000000000001</c:v>
                </c:pt>
              </c:numCache>
            </c:numRef>
          </c:val>
          <c:extLst>
            <c:ext xmlns:c16="http://schemas.microsoft.com/office/drawing/2014/chart" uri="{C3380CC4-5D6E-409C-BE32-E72D297353CC}">
              <c16:uniqueId val="{0000005C-CCFA-418F-960C-3C09FBD10195}"/>
            </c:ext>
          </c:extLst>
        </c:ser>
        <c:ser>
          <c:idx val="5"/>
          <c:order val="5"/>
          <c:tx>
            <c:strRef>
              <c:f>Dashboard_Charts!$G$62:$G$63</c:f>
              <c:strCache>
                <c:ptCount val="1"/>
                <c:pt idx="0">
                  <c:v>Pulmonology</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Dashboard_Charts!$G$64</c:f>
              <c:numCache>
                <c:formatCode>0.00%</c:formatCode>
                <c:ptCount val="1"/>
                <c:pt idx="0">
                  <c:v>0.19</c:v>
                </c:pt>
              </c:numCache>
            </c:numRef>
          </c:val>
          <c:extLst>
            <c:ext xmlns:c16="http://schemas.microsoft.com/office/drawing/2014/chart" uri="{C3380CC4-5D6E-409C-BE32-E72D297353CC}">
              <c16:uniqueId val="{0000005D-CCFA-418F-960C-3C09FBD10195}"/>
            </c:ext>
          </c:extLst>
        </c:ser>
        <c:ser>
          <c:idx val="6"/>
          <c:order val="6"/>
          <c:tx>
            <c:strRef>
              <c:f>Dashboard_Charts!$H$62:$H$63</c:f>
              <c:strCache>
                <c:ptCount val="1"/>
                <c:pt idx="0">
                  <c:v>Rheumatology</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Dashboard_Charts!$H$64</c:f>
              <c:numCache>
                <c:formatCode>0.00%</c:formatCode>
                <c:ptCount val="1"/>
                <c:pt idx="0">
                  <c:v>0.04</c:v>
                </c:pt>
              </c:numCache>
            </c:numRef>
          </c:val>
          <c:extLst>
            <c:ext xmlns:c16="http://schemas.microsoft.com/office/drawing/2014/chart" uri="{C3380CC4-5D6E-409C-BE32-E72D297353CC}">
              <c16:uniqueId val="{0000005E-CCFA-418F-960C-3C09FBD10195}"/>
            </c:ext>
          </c:extLst>
        </c:ser>
        <c:dLbls>
          <c:showLegendKey val="0"/>
          <c:showVal val="0"/>
          <c:showCatName val="0"/>
          <c:showSerName val="0"/>
          <c:showPercent val="0"/>
          <c:showBubbleSize val="0"/>
        </c:dLbls>
        <c:gapWidth val="115"/>
        <c:overlap val="-20"/>
        <c:axId val="900608816"/>
        <c:axId val="900616496"/>
      </c:barChart>
      <c:catAx>
        <c:axId val="900608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900616496"/>
        <c:crosses val="autoZero"/>
        <c:auto val="1"/>
        <c:lblAlgn val="ctr"/>
        <c:lblOffset val="100"/>
        <c:noMultiLvlLbl val="0"/>
      </c:catAx>
      <c:valAx>
        <c:axId val="900616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9006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[Book1.xlsx]Dashboard_Charts!PivotTable39</c:name>
    <c:fmtId val="0"/>
  </c:pivotSource>
  <c:chart>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Dashboard_Charts!$B$86:$B$87</c:f>
              <c:strCache>
                <c:ptCount val="1"/>
                <c:pt idx="0">
                  <c:v>Improved</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Dashboard_Charts!$A$88:$A$95</c:f>
              <c:strCache>
                <c:ptCount val="7"/>
                <c:pt idx="0">
                  <c:v>Cardiology</c:v>
                </c:pt>
                <c:pt idx="1">
                  <c:v>Endocrinology</c:v>
                </c:pt>
                <c:pt idx="2">
                  <c:v>Nephrology</c:v>
                </c:pt>
                <c:pt idx="3">
                  <c:v>Orthopedics</c:v>
                </c:pt>
                <c:pt idx="4">
                  <c:v>Psychiatry</c:v>
                </c:pt>
                <c:pt idx="5">
                  <c:v>Pulmonology</c:v>
                </c:pt>
                <c:pt idx="6">
                  <c:v>Rheumatology</c:v>
                </c:pt>
              </c:strCache>
            </c:strRef>
          </c:cat>
          <c:val>
            <c:numRef>
              <c:f>Dashboard_Charts!$B$88:$B$95</c:f>
              <c:numCache>
                <c:formatCode>General</c:formatCode>
                <c:ptCount val="7"/>
                <c:pt idx="0">
                  <c:v>10</c:v>
                </c:pt>
                <c:pt idx="1">
                  <c:v>14</c:v>
                </c:pt>
                <c:pt idx="2">
                  <c:v>4</c:v>
                </c:pt>
                <c:pt idx="3">
                  <c:v>5</c:v>
                </c:pt>
                <c:pt idx="4">
                  <c:v>10</c:v>
                </c:pt>
                <c:pt idx="5">
                  <c:v>10</c:v>
                </c:pt>
                <c:pt idx="6">
                  <c:v>4</c:v>
                </c:pt>
              </c:numCache>
            </c:numRef>
          </c:val>
          <c:extLst>
            <c:ext xmlns:c16="http://schemas.microsoft.com/office/drawing/2014/chart" uri="{C3380CC4-5D6E-409C-BE32-E72D297353CC}">
              <c16:uniqueId val="{00000000-4716-4509-91F6-D95595908723}"/>
            </c:ext>
          </c:extLst>
        </c:ser>
        <c:ser>
          <c:idx val="1"/>
          <c:order val="1"/>
          <c:tx>
            <c:strRef>
              <c:f>Dashboard_Charts!$C$86:$C$87</c:f>
              <c:strCache>
                <c:ptCount val="1"/>
                <c:pt idx="0">
                  <c:v>Stable</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Dashboard_Charts!$A$88:$A$95</c:f>
              <c:strCache>
                <c:ptCount val="7"/>
                <c:pt idx="0">
                  <c:v>Cardiology</c:v>
                </c:pt>
                <c:pt idx="1">
                  <c:v>Endocrinology</c:v>
                </c:pt>
                <c:pt idx="2">
                  <c:v>Nephrology</c:v>
                </c:pt>
                <c:pt idx="3">
                  <c:v>Orthopedics</c:v>
                </c:pt>
                <c:pt idx="4">
                  <c:v>Psychiatry</c:v>
                </c:pt>
                <c:pt idx="5">
                  <c:v>Pulmonology</c:v>
                </c:pt>
                <c:pt idx="6">
                  <c:v>Rheumatology</c:v>
                </c:pt>
              </c:strCache>
            </c:strRef>
          </c:cat>
          <c:val>
            <c:numRef>
              <c:f>Dashboard_Charts!$C$88:$C$95</c:f>
              <c:numCache>
                <c:formatCode>General</c:formatCode>
                <c:ptCount val="7"/>
                <c:pt idx="0">
                  <c:v>7</c:v>
                </c:pt>
                <c:pt idx="1">
                  <c:v>7</c:v>
                </c:pt>
                <c:pt idx="2">
                  <c:v>5</c:v>
                </c:pt>
                <c:pt idx="3">
                  <c:v>4</c:v>
                </c:pt>
                <c:pt idx="4">
                  <c:v>3</c:v>
                </c:pt>
                <c:pt idx="5">
                  <c:v>6</c:v>
                </c:pt>
              </c:numCache>
            </c:numRef>
          </c:val>
          <c:extLst>
            <c:ext xmlns:c16="http://schemas.microsoft.com/office/drawing/2014/chart" uri="{C3380CC4-5D6E-409C-BE32-E72D297353CC}">
              <c16:uniqueId val="{00000007-6E1E-4457-BEF8-41AAF975BE40}"/>
            </c:ext>
          </c:extLst>
        </c:ser>
        <c:ser>
          <c:idx val="2"/>
          <c:order val="2"/>
          <c:tx>
            <c:strRef>
              <c:f>Dashboard_Charts!$D$86:$D$87</c:f>
              <c:strCache>
                <c:ptCount val="1"/>
                <c:pt idx="0">
                  <c:v>Worsened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Dashboard_Charts!$A$88:$A$95</c:f>
              <c:strCache>
                <c:ptCount val="7"/>
                <c:pt idx="0">
                  <c:v>Cardiology</c:v>
                </c:pt>
                <c:pt idx="1">
                  <c:v>Endocrinology</c:v>
                </c:pt>
                <c:pt idx="2">
                  <c:v>Nephrology</c:v>
                </c:pt>
                <c:pt idx="3">
                  <c:v>Orthopedics</c:v>
                </c:pt>
                <c:pt idx="4">
                  <c:v>Psychiatry</c:v>
                </c:pt>
                <c:pt idx="5">
                  <c:v>Pulmonology</c:v>
                </c:pt>
                <c:pt idx="6">
                  <c:v>Rheumatology</c:v>
                </c:pt>
              </c:strCache>
            </c:strRef>
          </c:cat>
          <c:val>
            <c:numRef>
              <c:f>Dashboard_Charts!$D$88:$D$95</c:f>
              <c:numCache>
                <c:formatCode>General</c:formatCode>
                <c:ptCount val="7"/>
                <c:pt idx="0">
                  <c:v>1</c:v>
                </c:pt>
                <c:pt idx="1">
                  <c:v>3</c:v>
                </c:pt>
                <c:pt idx="2">
                  <c:v>1</c:v>
                </c:pt>
                <c:pt idx="3">
                  <c:v>2</c:v>
                </c:pt>
                <c:pt idx="4">
                  <c:v>1</c:v>
                </c:pt>
                <c:pt idx="5">
                  <c:v>3</c:v>
                </c:pt>
              </c:numCache>
            </c:numRef>
          </c:val>
          <c:extLst>
            <c:ext xmlns:c16="http://schemas.microsoft.com/office/drawing/2014/chart" uri="{C3380CC4-5D6E-409C-BE32-E72D297353CC}">
              <c16:uniqueId val="{00000008-6E1E-4457-BEF8-41AAF975BE40}"/>
            </c:ext>
          </c:extLst>
        </c:ser>
        <c:dLbls>
          <c:showLegendKey val="0"/>
          <c:showVal val="0"/>
          <c:showCatName val="0"/>
          <c:showSerName val="0"/>
          <c:showPercent val="0"/>
          <c:showBubbleSize val="0"/>
        </c:dLbls>
        <c:gapWidth val="100"/>
        <c:overlap val="-24"/>
        <c:axId val="789915536"/>
        <c:axId val="789913136"/>
      </c:barChart>
      <c:catAx>
        <c:axId val="789915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89913136"/>
        <c:crosses val="autoZero"/>
        <c:auto val="1"/>
        <c:lblAlgn val="ctr"/>
        <c:lblOffset val="100"/>
        <c:noMultiLvlLbl val="0"/>
      </c:catAx>
      <c:valAx>
        <c:axId val="78991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78991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[Book1.xlsx]Dashboard_Charts!PivotTable40</c:name>
    <c:fmtId val="0"/>
  </c:pivotSource>
  <c:chart>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Dashboard_Charts!$B$105:$B$106</c:f>
              <c:strCache>
                <c:ptCount val="1"/>
                <c:pt idx="0">
                  <c:v>Cardiology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Dashboard_Charts!$B$107:$B$119</c:f>
              <c:numCache>
                <c:formatCode>General</c:formatCode>
                <c:ptCount val="12"/>
                <c:pt idx="0">
                  <c:v>3</c:v>
                </c:pt>
                <c:pt idx="2">
                  <c:v>2</c:v>
                </c:pt>
                <c:pt idx="3">
                  <c:v>2</c:v>
                </c:pt>
                <c:pt idx="4">
                  <c:v>2</c:v>
                </c:pt>
                <c:pt idx="5">
                  <c:v>2</c:v>
                </c:pt>
                <c:pt idx="6">
                  <c:v>1</c:v>
                </c:pt>
                <c:pt idx="7">
                  <c:v>2</c:v>
                </c:pt>
                <c:pt idx="8">
                  <c:v>1</c:v>
                </c:pt>
                <c:pt idx="10">
                  <c:v>2</c:v>
                </c:pt>
                <c:pt idx="11">
                  <c:v>1</c:v>
                </c:pt>
              </c:numCache>
            </c:numRef>
          </c:val>
          <c:smooth val="0"/>
          <c:extLst>
            <c:ext xmlns:c16="http://schemas.microsoft.com/office/drawing/2014/chart" uri="{C3380CC4-5D6E-409C-BE32-E72D297353CC}">
              <c16:uniqueId val="{00000000-366A-462E-A1B3-88DEDEEE6E52}"/>
            </c:ext>
          </c:extLst>
        </c:ser>
        <c:ser>
          <c:idx val="1"/>
          <c:order val="1"/>
          <c:tx>
            <c:strRef>
              <c:f>Dashboard_Charts!$C$105:$C$106</c:f>
              <c:strCache>
                <c:ptCount val="1"/>
                <c:pt idx="0">
                  <c:v>Endocrinology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Dashboard_Charts!$C$107:$C$119</c:f>
              <c:numCache>
                <c:formatCode>General</c:formatCode>
                <c:ptCount val="12"/>
                <c:pt idx="0">
                  <c:v>1</c:v>
                </c:pt>
                <c:pt idx="1">
                  <c:v>2</c:v>
                </c:pt>
                <c:pt idx="2">
                  <c:v>3</c:v>
                </c:pt>
                <c:pt idx="3">
                  <c:v>3</c:v>
                </c:pt>
                <c:pt idx="4">
                  <c:v>2</c:v>
                </c:pt>
                <c:pt idx="5">
                  <c:v>2</c:v>
                </c:pt>
                <c:pt idx="6">
                  <c:v>1</c:v>
                </c:pt>
                <c:pt idx="7">
                  <c:v>1</c:v>
                </c:pt>
                <c:pt idx="9">
                  <c:v>1</c:v>
                </c:pt>
                <c:pt idx="10">
                  <c:v>3</c:v>
                </c:pt>
                <c:pt idx="11">
                  <c:v>5</c:v>
                </c:pt>
              </c:numCache>
            </c:numRef>
          </c:val>
          <c:smooth val="0"/>
          <c:extLst>
            <c:ext xmlns:c16="http://schemas.microsoft.com/office/drawing/2014/chart" uri="{C3380CC4-5D6E-409C-BE32-E72D297353CC}">
              <c16:uniqueId val="{00000053-032D-449D-AD99-8323B5B05153}"/>
            </c:ext>
          </c:extLst>
        </c:ser>
        <c:ser>
          <c:idx val="2"/>
          <c:order val="2"/>
          <c:tx>
            <c:strRef>
              <c:f>Dashboard_Charts!$D$105:$D$106</c:f>
              <c:strCache>
                <c:ptCount val="1"/>
                <c:pt idx="0">
                  <c:v>Nephrology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Dashboard_Charts!$D$107:$D$119</c:f>
              <c:numCache>
                <c:formatCode>General</c:formatCode>
                <c:ptCount val="12"/>
                <c:pt idx="1">
                  <c:v>1</c:v>
                </c:pt>
                <c:pt idx="2">
                  <c:v>1</c:v>
                </c:pt>
                <c:pt idx="3">
                  <c:v>1</c:v>
                </c:pt>
                <c:pt idx="5">
                  <c:v>1</c:v>
                </c:pt>
                <c:pt idx="6">
                  <c:v>1</c:v>
                </c:pt>
                <c:pt idx="7">
                  <c:v>2</c:v>
                </c:pt>
                <c:pt idx="9">
                  <c:v>2</c:v>
                </c:pt>
                <c:pt idx="11">
                  <c:v>1</c:v>
                </c:pt>
              </c:numCache>
            </c:numRef>
          </c:val>
          <c:smooth val="0"/>
          <c:extLst>
            <c:ext xmlns:c16="http://schemas.microsoft.com/office/drawing/2014/chart" uri="{C3380CC4-5D6E-409C-BE32-E72D297353CC}">
              <c16:uniqueId val="{00000054-032D-449D-AD99-8323B5B05153}"/>
            </c:ext>
          </c:extLst>
        </c:ser>
        <c:ser>
          <c:idx val="3"/>
          <c:order val="3"/>
          <c:tx>
            <c:strRef>
              <c:f>Dashboard_Charts!$E$105:$E$106</c:f>
              <c:strCache>
                <c:ptCount val="1"/>
                <c:pt idx="0">
                  <c:v>Orthopedics</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Dashboard_Charts!$E$107:$E$119</c:f>
              <c:numCache>
                <c:formatCode>General</c:formatCode>
                <c:ptCount val="12"/>
                <c:pt idx="0">
                  <c:v>1</c:v>
                </c:pt>
                <c:pt idx="1">
                  <c:v>1</c:v>
                </c:pt>
                <c:pt idx="3">
                  <c:v>1</c:v>
                </c:pt>
                <c:pt idx="4">
                  <c:v>3</c:v>
                </c:pt>
                <c:pt idx="6">
                  <c:v>1</c:v>
                </c:pt>
                <c:pt idx="7">
                  <c:v>1</c:v>
                </c:pt>
                <c:pt idx="8">
                  <c:v>1</c:v>
                </c:pt>
                <c:pt idx="10">
                  <c:v>1</c:v>
                </c:pt>
                <c:pt idx="11">
                  <c:v>1</c:v>
                </c:pt>
              </c:numCache>
            </c:numRef>
          </c:val>
          <c:smooth val="0"/>
          <c:extLst>
            <c:ext xmlns:c16="http://schemas.microsoft.com/office/drawing/2014/chart" uri="{C3380CC4-5D6E-409C-BE32-E72D297353CC}">
              <c16:uniqueId val="{00000055-032D-449D-AD99-8323B5B05153}"/>
            </c:ext>
          </c:extLst>
        </c:ser>
        <c:ser>
          <c:idx val="4"/>
          <c:order val="4"/>
          <c:tx>
            <c:strRef>
              <c:f>Dashboard_Charts!$F$105:$F$106</c:f>
              <c:strCache>
                <c:ptCount val="1"/>
                <c:pt idx="0">
                  <c:v>Psychiatry</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Dashboard_Charts!$F$107:$F$119</c:f>
              <c:numCache>
                <c:formatCode>General</c:formatCode>
                <c:ptCount val="12"/>
                <c:pt idx="0">
                  <c:v>3</c:v>
                </c:pt>
                <c:pt idx="2">
                  <c:v>1</c:v>
                </c:pt>
                <c:pt idx="3">
                  <c:v>1</c:v>
                </c:pt>
                <c:pt idx="7">
                  <c:v>3</c:v>
                </c:pt>
                <c:pt idx="8">
                  <c:v>2</c:v>
                </c:pt>
                <c:pt idx="9">
                  <c:v>2</c:v>
                </c:pt>
                <c:pt idx="10">
                  <c:v>1</c:v>
                </c:pt>
                <c:pt idx="11">
                  <c:v>1</c:v>
                </c:pt>
              </c:numCache>
            </c:numRef>
          </c:val>
          <c:smooth val="0"/>
          <c:extLst>
            <c:ext xmlns:c16="http://schemas.microsoft.com/office/drawing/2014/chart" uri="{C3380CC4-5D6E-409C-BE32-E72D297353CC}">
              <c16:uniqueId val="{00000056-032D-449D-AD99-8323B5B05153}"/>
            </c:ext>
          </c:extLst>
        </c:ser>
        <c:ser>
          <c:idx val="5"/>
          <c:order val="5"/>
          <c:tx>
            <c:strRef>
              <c:f>Dashboard_Charts!$G$105:$G$106</c:f>
              <c:strCache>
                <c:ptCount val="1"/>
                <c:pt idx="0">
                  <c:v>Pulmonology</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Dashboard_Charts!$G$107:$G$119</c:f>
              <c:numCache>
                <c:formatCode>General</c:formatCode>
                <c:ptCount val="12"/>
                <c:pt idx="0">
                  <c:v>3</c:v>
                </c:pt>
                <c:pt idx="1">
                  <c:v>2</c:v>
                </c:pt>
                <c:pt idx="2">
                  <c:v>2</c:v>
                </c:pt>
                <c:pt idx="3">
                  <c:v>1</c:v>
                </c:pt>
                <c:pt idx="4">
                  <c:v>2</c:v>
                </c:pt>
                <c:pt idx="5">
                  <c:v>1</c:v>
                </c:pt>
                <c:pt idx="6">
                  <c:v>1</c:v>
                </c:pt>
                <c:pt idx="7">
                  <c:v>1</c:v>
                </c:pt>
                <c:pt idx="8">
                  <c:v>1</c:v>
                </c:pt>
                <c:pt idx="9">
                  <c:v>1</c:v>
                </c:pt>
                <c:pt idx="10">
                  <c:v>3</c:v>
                </c:pt>
                <c:pt idx="11">
                  <c:v>1</c:v>
                </c:pt>
              </c:numCache>
            </c:numRef>
          </c:val>
          <c:smooth val="0"/>
          <c:extLst>
            <c:ext xmlns:c16="http://schemas.microsoft.com/office/drawing/2014/chart" uri="{C3380CC4-5D6E-409C-BE32-E72D297353CC}">
              <c16:uniqueId val="{00000057-032D-449D-AD99-8323B5B05153}"/>
            </c:ext>
          </c:extLst>
        </c:ser>
        <c:ser>
          <c:idx val="6"/>
          <c:order val="6"/>
          <c:tx>
            <c:strRef>
              <c:f>Dashboard_Charts!$H$105:$H$106</c:f>
              <c:strCache>
                <c:ptCount val="1"/>
                <c:pt idx="0">
                  <c:v>Rheumatology</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cat>
            <c:strRef>
              <c:f>Dashboard_Charts!$A$107:$A$119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Dashboard_Charts!$H$107:$H$119</c:f>
              <c:numCache>
                <c:formatCode>General</c:formatCode>
                <c:ptCount val="12"/>
                <c:pt idx="0">
                  <c:v>2</c:v>
                </c:pt>
                <c:pt idx="9">
                  <c:v>1</c:v>
                </c:pt>
                <c:pt idx="10">
                  <c:v>1</c:v>
                </c:pt>
              </c:numCache>
            </c:numRef>
          </c:val>
          <c:smooth val="0"/>
          <c:extLst>
            <c:ext xmlns:c16="http://schemas.microsoft.com/office/drawing/2014/chart" uri="{C3380CC4-5D6E-409C-BE32-E72D297353CC}">
              <c16:uniqueId val="{00000058-032D-449D-AD99-8323B5B05153}"/>
            </c:ext>
          </c:extLst>
        </c:ser>
        <c:dLbls>
          <c:showLegendKey val="0"/>
          <c:showVal val="0"/>
          <c:showCatName val="0"/>
          <c:showSerName val="0"/>
          <c:showPercent val="0"/>
          <c:showBubbleSize val="0"/>
        </c:dLbls>
        <c:marker val="1"/>
        <c:smooth val="0"/>
        <c:axId val="677891024"/>
        <c:axId val="677891504"/>
      </c:lineChart>
      <c:catAx>
        <c:axId val="677891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7891504"/>
        <c:crosses val="autoZero"/>
        <c:auto val="1"/>
        <c:lblAlgn val="ctr"/>
        <c:lblOffset val="100"/>
        <c:noMultiLvlLbl val="0"/>
      </c:catAx>
      <c:valAx>
        <c:axId val="67789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7789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a:t>Monthly Visits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lotArea>
      <c:layout/>
      <c:lineChart>
        <c:grouping val="standard"/>
        <c:varyColors val="0"/>
        <c:ser>
          <c:idx val="0"/>
          <c:order val="0"/>
          <c:tx>
            <c:strRef>
              <c:f>Dashboard_Data!$F$7</c:f>
              <c:strCache>
                <c:ptCount val="1"/>
                <c:pt idx="0">
                  <c:v>Visits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Dashboard_Data!$E$8:$E$19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Dashboard_Data!$F$8:$F$19</c:f>
              <c:numCache>
                <c:formatCode>General</c:formatCode>
                <c:ptCount val="12"/>
                <c:pt idx="0">
                  <c:v>13</c:v>
                </c:pt>
                <c:pt idx="1">
                  <c:v>6</c:v>
                </c:pt>
                <c:pt idx="2">
                  <c:v>9</c:v>
                </c:pt>
                <c:pt idx="3">
                  <c:v>9</c:v>
                </c:pt>
                <c:pt idx="4">
                  <c:v>9</c:v>
                </c:pt>
                <c:pt idx="5">
                  <c:v>6</c:v>
                </c:pt>
                <c:pt idx="6">
                  <c:v>5</c:v>
                </c:pt>
                <c:pt idx="7">
                  <c:v>10</c:v>
                </c:pt>
                <c:pt idx="8">
                  <c:v>5</c:v>
                </c:pt>
                <c:pt idx="9">
                  <c:v>7</c:v>
                </c:pt>
                <c:pt idx="10">
                  <c:v>11</c:v>
                </c:pt>
                <c:pt idx="11">
                  <c:v>10</c:v>
                </c:pt>
              </c:numCache>
            </c:numRef>
          </c:val>
          <c:smooth val="0"/>
          <c:extLst>
            <c:ext xmlns:c16="http://schemas.microsoft.com/office/drawing/2014/chart" uri="{C3380CC4-5D6E-409C-BE32-E72D297353CC}">
              <c16:uniqueId val="{00000000-9B00-495C-9A0F-BCF1467EFAB3}"/>
            </c:ext>
          </c:extLst>
        </c:ser>
        <c:dLbls>
          <c:showLegendKey val="0"/>
          <c:showVal val="0"/>
          <c:showCatName val="0"/>
          <c:showSerName val="0"/>
          <c:showPercent val="0"/>
          <c:showBubbleSize val="0"/>
        </c:dLbls>
        <c:smooth val="0"/>
        <c:axId val="863442576"/>
        <c:axId val="863453136"/>
      </c:lineChart>
      <c:catAx>
        <c:axId val="863442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l-GR"/>
          </a:p>
        </c:txPr>
        <c:crossAx val="863453136"/>
        <c:crosses val="autoZero"/>
        <c:auto val="1"/>
        <c:lblAlgn val="ctr"/>
        <c:lblOffset val="100"/>
        <c:noMultiLvlLbl val="0"/>
      </c:catAx>
      <c:valAx>
        <c:axId val="86345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crossAx val="86344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l-G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2C5E52"/>
                </a:solidFill>
              </a:rPr>
              <a:t>Patient</a:t>
            </a:r>
            <a:r>
              <a:rPr lang="en-US" sz="2400" b="1" baseline="0">
                <a:solidFill>
                  <a:srgbClr val="2C5E52"/>
                </a:solidFill>
              </a:rPr>
              <a:t> Outcomes Summary</a:t>
            </a:r>
          </a:p>
        </c:rich>
      </c:tx>
      <c:layout>
        <c:manualLayout>
          <c:xMode val="edge"/>
          <c:yMode val="edge"/>
          <c:x val="0.20628243752139683"/>
          <c:y val="2.5121859767529054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pieChart>
        <c:varyColors val="1"/>
        <c:ser>
          <c:idx val="0"/>
          <c:order val="0"/>
          <c:tx>
            <c:strRef>
              <c:f>Dashboard_Data!$I$5</c:f>
              <c:strCache>
                <c:ptCount val="1"/>
                <c:pt idx="0">
                  <c:v>Results</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B09B-4358-98CE-0E1FEB08512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09B-4358-98CE-0E1FEB085126}"/>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B09B-4358-98CE-0E1FEB085126}"/>
              </c:ext>
            </c:extLst>
          </c:dPt>
          <c:dLbls>
            <c:dLbl>
              <c:idx val="0"/>
              <c:tx>
                <c:rich>
                  <a:bodyPr/>
                  <a:lstStyle/>
                  <a:p>
                    <a:fld id="{9C4920C9-6748-4DE9-9F5F-9FC44FD9E0CA}" type="VALUE">
                      <a:rPr lang="en-US" sz="1800" b="1" baseline="0">
                        <a:solidFill>
                          <a:schemeClr val="bg1"/>
                        </a:solidFill>
                      </a:rPr>
                      <a:pPr/>
                      <a:t>[VALUE]</a:t>
                    </a:fld>
                    <a:endParaRPr lang="el-G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09B-4358-98CE-0E1FEB085126}"/>
                </c:ext>
              </c:extLst>
            </c:dLbl>
            <c:dLbl>
              <c:idx val="1"/>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E4B0BB1B-3ED0-4F16-A72B-924F02248317}" type="VALUE">
                      <a:rPr lang="en-US" sz="1800" b="1" baseline="0">
                        <a:solidFill>
                          <a:schemeClr val="bg1"/>
                        </a:solidFill>
                      </a:rPr>
                      <a:pPr>
                        <a:defRPr sz="1800" baseline="0"/>
                      </a:pPr>
                      <a:t>[VALUE]</a:t>
                    </a:fld>
                    <a:endParaRPr lang="el-GR"/>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09B-4358-98CE-0E1FEB085126}"/>
                </c:ext>
              </c:extLst>
            </c:dLbl>
            <c:dLbl>
              <c:idx val="2"/>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D4A05F4A-CC6A-4DFC-9231-75AD708BD50E}" type="VALUE">
                      <a:rPr lang="en-US" sz="1800" b="1" baseline="0">
                        <a:solidFill>
                          <a:schemeClr val="bg1"/>
                        </a:solidFill>
                      </a:rPr>
                      <a:pPr>
                        <a:defRPr sz="1800" baseline="0"/>
                      </a:pPr>
                      <a:t>[VALUE]</a:t>
                    </a:fld>
                    <a:endParaRPr lang="el-GR"/>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09B-4358-98CE-0E1FEB0851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Dashboard_Data!$H$6:$H$8</c:f>
              <c:strCache>
                <c:ptCount val="3"/>
                <c:pt idx="0">
                  <c:v>Improved</c:v>
                </c:pt>
                <c:pt idx="1">
                  <c:v>Stable</c:v>
                </c:pt>
                <c:pt idx="2">
                  <c:v>Worsened</c:v>
                </c:pt>
              </c:strCache>
            </c:strRef>
          </c:cat>
          <c:val>
            <c:numRef>
              <c:f>Dashboard_Data!$I$6:$I$8</c:f>
              <c:numCache>
                <c:formatCode>General</c:formatCode>
                <c:ptCount val="3"/>
                <c:pt idx="0">
                  <c:v>57</c:v>
                </c:pt>
                <c:pt idx="1">
                  <c:v>32</c:v>
                </c:pt>
                <c:pt idx="2">
                  <c:v>11</c:v>
                </c:pt>
              </c:numCache>
            </c:numRef>
          </c:val>
          <c:extLst>
            <c:ext xmlns:c16="http://schemas.microsoft.com/office/drawing/2014/chart" uri="{C3380CC4-5D6E-409C-BE32-E72D297353CC}">
              <c16:uniqueId val="{00000006-B09B-4358-98CE-0E1FEB085126}"/>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l-GR"/>
          </a:p>
        </c:txPr>
      </c:legendEntry>
      <c:legendEntry>
        <c:idx val="1"/>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l-GR"/>
          </a:p>
        </c:txPr>
      </c:legendEntry>
      <c:legendEntry>
        <c:idx val="2"/>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l-GR"/>
          </a:p>
        </c:txPr>
      </c:legendEntry>
      <c:layout>
        <c:manualLayout>
          <c:xMode val="edge"/>
          <c:yMode val="edge"/>
          <c:x val="0.7549457281624844"/>
          <c:y val="0.14919665105152996"/>
          <c:w val="0.23103558024873058"/>
          <c:h val="0.71413801122960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l-G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[Book1.xlsx]Dashboard_Charts!Outcome Distribution by Diagnosis</c:name>
    <c:fmtId val="13"/>
  </c:pivotSource>
  <c:chart>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02902057313885E-2"/>
          <c:y val="0.10650355556766476"/>
          <c:w val="0.78566551516762007"/>
          <c:h val="0.59009563250960417"/>
        </c:manualLayout>
      </c:layout>
      <c:barChart>
        <c:barDir val="col"/>
        <c:grouping val="stacked"/>
        <c:varyColors val="0"/>
        <c:ser>
          <c:idx val="0"/>
          <c:order val="0"/>
          <c:tx>
            <c:strRef>
              <c:f>Dashboard_Charts!$B$29:$B$30</c:f>
              <c:strCache>
                <c:ptCount val="1"/>
                <c:pt idx="0">
                  <c:v>Improved</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Dashboard_Charts!$A$31:$A$41</c:f>
              <c:strCache>
                <c:ptCount val="10"/>
                <c:pt idx="0">
                  <c:v>Asthma</c:v>
                </c:pt>
                <c:pt idx="1">
                  <c:v>Chronic Kidney Disease</c:v>
                </c:pt>
                <c:pt idx="2">
                  <c:v>COPD</c:v>
                </c:pt>
                <c:pt idx="3">
                  <c:v>Coronary Artery Disease</c:v>
                </c:pt>
                <c:pt idx="4">
                  <c:v>Depression</c:v>
                </c:pt>
                <c:pt idx="5">
                  <c:v>Diabetes Type 2</c:v>
                </c:pt>
                <c:pt idx="6">
                  <c:v>Hypertension</c:v>
                </c:pt>
                <c:pt idx="7">
                  <c:v>Hypothyroidism</c:v>
                </c:pt>
                <c:pt idx="8">
                  <c:v>Osteoarthritis</c:v>
                </c:pt>
                <c:pt idx="9">
                  <c:v>Rheumatoid Arthritis</c:v>
                </c:pt>
              </c:strCache>
            </c:strRef>
          </c:cat>
          <c:val>
            <c:numRef>
              <c:f>Dashboard_Charts!$B$31:$B$41</c:f>
              <c:numCache>
                <c:formatCode>General</c:formatCode>
                <c:ptCount val="10"/>
                <c:pt idx="0">
                  <c:v>5</c:v>
                </c:pt>
                <c:pt idx="1">
                  <c:v>4</c:v>
                </c:pt>
                <c:pt idx="2">
                  <c:v>5</c:v>
                </c:pt>
                <c:pt idx="3">
                  <c:v>5</c:v>
                </c:pt>
                <c:pt idx="4">
                  <c:v>10</c:v>
                </c:pt>
                <c:pt idx="5">
                  <c:v>5</c:v>
                </c:pt>
                <c:pt idx="6">
                  <c:v>5</c:v>
                </c:pt>
                <c:pt idx="7">
                  <c:v>9</c:v>
                </c:pt>
                <c:pt idx="8">
                  <c:v>5</c:v>
                </c:pt>
                <c:pt idx="9">
                  <c:v>4</c:v>
                </c:pt>
              </c:numCache>
            </c:numRef>
          </c:val>
          <c:extLst>
            <c:ext xmlns:c16="http://schemas.microsoft.com/office/drawing/2014/chart" uri="{C3380CC4-5D6E-409C-BE32-E72D297353CC}">
              <c16:uniqueId val="{00000000-9F32-4B73-A173-E7B66A8543D5}"/>
            </c:ext>
          </c:extLst>
        </c:ser>
        <c:ser>
          <c:idx val="1"/>
          <c:order val="1"/>
          <c:tx>
            <c:strRef>
              <c:f>Dashboard_Charts!$C$29:$C$30</c:f>
              <c:strCache>
                <c:ptCount val="1"/>
                <c:pt idx="0">
                  <c:v>Stable</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Dashboard_Charts!$A$31:$A$41</c:f>
              <c:strCache>
                <c:ptCount val="10"/>
                <c:pt idx="0">
                  <c:v>Asthma</c:v>
                </c:pt>
                <c:pt idx="1">
                  <c:v>Chronic Kidney Disease</c:v>
                </c:pt>
                <c:pt idx="2">
                  <c:v>COPD</c:v>
                </c:pt>
                <c:pt idx="3">
                  <c:v>Coronary Artery Disease</c:v>
                </c:pt>
                <c:pt idx="4">
                  <c:v>Depression</c:v>
                </c:pt>
                <c:pt idx="5">
                  <c:v>Diabetes Type 2</c:v>
                </c:pt>
                <c:pt idx="6">
                  <c:v>Hypertension</c:v>
                </c:pt>
                <c:pt idx="7">
                  <c:v>Hypothyroidism</c:v>
                </c:pt>
                <c:pt idx="8">
                  <c:v>Osteoarthritis</c:v>
                </c:pt>
                <c:pt idx="9">
                  <c:v>Rheumatoid Arthritis</c:v>
                </c:pt>
              </c:strCache>
            </c:strRef>
          </c:cat>
          <c:val>
            <c:numRef>
              <c:f>Dashboard_Charts!$C$31:$C$41</c:f>
              <c:numCache>
                <c:formatCode>General</c:formatCode>
                <c:ptCount val="10"/>
                <c:pt idx="0">
                  <c:v>3</c:v>
                </c:pt>
                <c:pt idx="1">
                  <c:v>5</c:v>
                </c:pt>
                <c:pt idx="2">
                  <c:v>3</c:v>
                </c:pt>
                <c:pt idx="3">
                  <c:v>4</c:v>
                </c:pt>
                <c:pt idx="4">
                  <c:v>3</c:v>
                </c:pt>
                <c:pt idx="5">
                  <c:v>4</c:v>
                </c:pt>
                <c:pt idx="6">
                  <c:v>3</c:v>
                </c:pt>
                <c:pt idx="7">
                  <c:v>3</c:v>
                </c:pt>
                <c:pt idx="8">
                  <c:v>4</c:v>
                </c:pt>
              </c:numCache>
            </c:numRef>
          </c:val>
          <c:extLst>
            <c:ext xmlns:c16="http://schemas.microsoft.com/office/drawing/2014/chart" uri="{C3380CC4-5D6E-409C-BE32-E72D297353CC}">
              <c16:uniqueId val="{0000000A-9F32-4B73-A173-E7B66A8543D5}"/>
            </c:ext>
          </c:extLst>
        </c:ser>
        <c:ser>
          <c:idx val="2"/>
          <c:order val="2"/>
          <c:tx>
            <c:strRef>
              <c:f>Dashboard_Charts!$D$29:$D$30</c:f>
              <c:strCache>
                <c:ptCount val="1"/>
                <c:pt idx="0">
                  <c:v>Worsened</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Dashboard_Charts!$A$31:$A$41</c:f>
              <c:strCache>
                <c:ptCount val="10"/>
                <c:pt idx="0">
                  <c:v>Asthma</c:v>
                </c:pt>
                <c:pt idx="1">
                  <c:v>Chronic Kidney Disease</c:v>
                </c:pt>
                <c:pt idx="2">
                  <c:v>COPD</c:v>
                </c:pt>
                <c:pt idx="3">
                  <c:v>Coronary Artery Disease</c:v>
                </c:pt>
                <c:pt idx="4">
                  <c:v>Depression</c:v>
                </c:pt>
                <c:pt idx="5">
                  <c:v>Diabetes Type 2</c:v>
                </c:pt>
                <c:pt idx="6">
                  <c:v>Hypertension</c:v>
                </c:pt>
                <c:pt idx="7">
                  <c:v>Hypothyroidism</c:v>
                </c:pt>
                <c:pt idx="8">
                  <c:v>Osteoarthritis</c:v>
                </c:pt>
                <c:pt idx="9">
                  <c:v>Rheumatoid Arthritis</c:v>
                </c:pt>
              </c:strCache>
            </c:strRef>
          </c:cat>
          <c:val>
            <c:numRef>
              <c:f>Dashboard_Charts!$D$31:$D$41</c:f>
              <c:numCache>
                <c:formatCode>General</c:formatCode>
                <c:ptCount val="10"/>
                <c:pt idx="0">
                  <c:v>1</c:v>
                </c:pt>
                <c:pt idx="1">
                  <c:v>1</c:v>
                </c:pt>
                <c:pt idx="2">
                  <c:v>2</c:v>
                </c:pt>
                <c:pt idx="4">
                  <c:v>1</c:v>
                </c:pt>
                <c:pt idx="5">
                  <c:v>1</c:v>
                </c:pt>
                <c:pt idx="6">
                  <c:v>1</c:v>
                </c:pt>
                <c:pt idx="7">
                  <c:v>2</c:v>
                </c:pt>
                <c:pt idx="8">
                  <c:v>2</c:v>
                </c:pt>
              </c:numCache>
            </c:numRef>
          </c:val>
          <c:extLst>
            <c:ext xmlns:c16="http://schemas.microsoft.com/office/drawing/2014/chart" uri="{C3380CC4-5D6E-409C-BE32-E72D297353CC}">
              <c16:uniqueId val="{0000000B-9F32-4B73-A173-E7B66A8543D5}"/>
            </c:ext>
          </c:extLst>
        </c:ser>
        <c:dLbls>
          <c:showLegendKey val="0"/>
          <c:showVal val="0"/>
          <c:showCatName val="0"/>
          <c:showSerName val="0"/>
          <c:showPercent val="0"/>
          <c:showBubbleSize val="0"/>
        </c:dLbls>
        <c:gapWidth val="150"/>
        <c:overlap val="100"/>
        <c:axId val="913871168"/>
        <c:axId val="913868288"/>
      </c:barChart>
      <c:catAx>
        <c:axId val="913871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l-GR"/>
          </a:p>
        </c:txPr>
        <c:crossAx val="913868288"/>
        <c:crosses val="autoZero"/>
        <c:auto val="1"/>
        <c:lblAlgn val="ctr"/>
        <c:lblOffset val="100"/>
        <c:noMultiLvlLbl val="0"/>
      </c:catAx>
      <c:valAx>
        <c:axId val="91386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9138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[Book1.xlsx]Dashboard_Charts!PivotTable38</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a:t>Patients</a:t>
            </a:r>
            <a:r>
              <a:rPr lang="en-US" sz="2400" baseline="0"/>
              <a:t> per Department</a:t>
            </a:r>
          </a:p>
        </c:rich>
      </c:tx>
      <c:layout>
        <c:manualLayout>
          <c:xMode val="edge"/>
          <c:yMode val="edge"/>
          <c:x val="0.2714269079330982"/>
          <c:y val="5.29514347619299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plus"/>
          <c:size val="5"/>
          <c:spPr>
            <a:no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90000"/>
              <a:lumOff val="1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C5E5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Dashboard_Charts!$B$62:$B$63</c:f>
              <c:strCache>
                <c:ptCount val="1"/>
                <c:pt idx="0">
                  <c:v>Cardiology</c:v>
                </c:pt>
              </c:strCache>
            </c:strRef>
          </c:tx>
          <c:spPr>
            <a:solidFill>
              <a:schemeClr val="tx2">
                <a:lumMod val="90000"/>
                <a:lumOff val="1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Dashboard_Charts!$B$64</c:f>
              <c:numCache>
                <c:formatCode>0.00%</c:formatCode>
                <c:ptCount val="1"/>
                <c:pt idx="0">
                  <c:v>0.18</c:v>
                </c:pt>
              </c:numCache>
            </c:numRef>
          </c:val>
          <c:extLst>
            <c:ext xmlns:c16="http://schemas.microsoft.com/office/drawing/2014/chart" uri="{C3380CC4-5D6E-409C-BE32-E72D297353CC}">
              <c16:uniqueId val="{00000000-7319-45E3-9B2D-683B54DFBC0F}"/>
            </c:ext>
          </c:extLst>
        </c:ser>
        <c:ser>
          <c:idx val="1"/>
          <c:order val="1"/>
          <c:tx>
            <c:strRef>
              <c:f>Dashboard_Charts!$C$62:$C$63</c:f>
              <c:strCache>
                <c:ptCount val="1"/>
                <c:pt idx="0">
                  <c:v>Endocrinology</c:v>
                </c:pt>
              </c:strCache>
            </c:strRef>
          </c:tx>
          <c:spPr>
            <a:solidFill>
              <a:srgbClr val="2C5E5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Dashboard_Charts!$C$64</c:f>
              <c:numCache>
                <c:formatCode>0.00%</c:formatCode>
                <c:ptCount val="1"/>
                <c:pt idx="0">
                  <c:v>0.24</c:v>
                </c:pt>
              </c:numCache>
            </c:numRef>
          </c:val>
          <c:extLst>
            <c:ext xmlns:c16="http://schemas.microsoft.com/office/drawing/2014/chart" uri="{C3380CC4-5D6E-409C-BE32-E72D297353CC}">
              <c16:uniqueId val="{00000060-7319-45E3-9B2D-683B54DFBC0F}"/>
            </c:ext>
          </c:extLst>
        </c:ser>
        <c:ser>
          <c:idx val="2"/>
          <c:order val="2"/>
          <c:tx>
            <c:strRef>
              <c:f>Dashboard_Charts!$D$62:$D$63</c:f>
              <c:strCache>
                <c:ptCount val="1"/>
                <c:pt idx="0">
                  <c:v>Nephrology</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Dashboard_Charts!$D$64</c:f>
              <c:numCache>
                <c:formatCode>0.00%</c:formatCode>
                <c:ptCount val="1"/>
                <c:pt idx="0">
                  <c:v>0.1</c:v>
                </c:pt>
              </c:numCache>
            </c:numRef>
          </c:val>
          <c:extLst>
            <c:ext xmlns:c16="http://schemas.microsoft.com/office/drawing/2014/chart" uri="{C3380CC4-5D6E-409C-BE32-E72D297353CC}">
              <c16:uniqueId val="{00000061-7319-45E3-9B2D-683B54DFBC0F}"/>
            </c:ext>
          </c:extLst>
        </c:ser>
        <c:ser>
          <c:idx val="3"/>
          <c:order val="3"/>
          <c:tx>
            <c:strRef>
              <c:f>Dashboard_Charts!$E$62:$E$63</c:f>
              <c:strCache>
                <c:ptCount val="1"/>
                <c:pt idx="0">
                  <c:v>Orthopedics</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Dashboard_Charts!$E$64</c:f>
              <c:numCache>
                <c:formatCode>0.00%</c:formatCode>
                <c:ptCount val="1"/>
                <c:pt idx="0">
                  <c:v>0.11</c:v>
                </c:pt>
              </c:numCache>
            </c:numRef>
          </c:val>
          <c:extLst>
            <c:ext xmlns:c16="http://schemas.microsoft.com/office/drawing/2014/chart" uri="{C3380CC4-5D6E-409C-BE32-E72D297353CC}">
              <c16:uniqueId val="{00000062-7319-45E3-9B2D-683B54DFBC0F}"/>
            </c:ext>
          </c:extLst>
        </c:ser>
        <c:ser>
          <c:idx val="4"/>
          <c:order val="4"/>
          <c:tx>
            <c:strRef>
              <c:f>Dashboard_Charts!$F$62:$F$63</c:f>
              <c:strCache>
                <c:ptCount val="1"/>
                <c:pt idx="0">
                  <c:v>Psychiatry</c:v>
                </c:pt>
              </c:strCache>
            </c:strRef>
          </c:tx>
          <c:spPr>
            <a:solidFill>
              <a:schemeClr val="accent3">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Dashboard_Charts!$F$64</c:f>
              <c:numCache>
                <c:formatCode>0.00%</c:formatCode>
                <c:ptCount val="1"/>
                <c:pt idx="0">
                  <c:v>0.14000000000000001</c:v>
                </c:pt>
              </c:numCache>
            </c:numRef>
          </c:val>
          <c:extLst>
            <c:ext xmlns:c16="http://schemas.microsoft.com/office/drawing/2014/chart" uri="{C3380CC4-5D6E-409C-BE32-E72D297353CC}">
              <c16:uniqueId val="{00000063-7319-45E3-9B2D-683B54DFBC0F}"/>
            </c:ext>
          </c:extLst>
        </c:ser>
        <c:ser>
          <c:idx val="5"/>
          <c:order val="5"/>
          <c:tx>
            <c:strRef>
              <c:f>Dashboard_Charts!$G$62:$G$63</c:f>
              <c:strCache>
                <c:ptCount val="1"/>
                <c:pt idx="0">
                  <c:v>Pulmonology</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Dashboard_Charts!$G$64</c:f>
              <c:numCache>
                <c:formatCode>0.00%</c:formatCode>
                <c:ptCount val="1"/>
                <c:pt idx="0">
                  <c:v>0.19</c:v>
                </c:pt>
              </c:numCache>
            </c:numRef>
          </c:val>
          <c:extLst>
            <c:ext xmlns:c16="http://schemas.microsoft.com/office/drawing/2014/chart" uri="{C3380CC4-5D6E-409C-BE32-E72D297353CC}">
              <c16:uniqueId val="{00000064-7319-45E3-9B2D-683B54DFBC0F}"/>
            </c:ext>
          </c:extLst>
        </c:ser>
        <c:ser>
          <c:idx val="6"/>
          <c:order val="6"/>
          <c:tx>
            <c:strRef>
              <c:f>Dashboard_Charts!$H$62:$H$63</c:f>
              <c:strCache>
                <c:ptCount val="1"/>
                <c:pt idx="0">
                  <c:v>Rheumatology</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Dashboard_Charts!$A$64</c:f>
              <c:strCache>
                <c:ptCount val="1"/>
                <c:pt idx="0">
                  <c:v>Total</c:v>
                </c:pt>
              </c:strCache>
            </c:strRef>
          </c:cat>
          <c:val>
            <c:numRef>
              <c:f>Dashboard_Charts!$H$64</c:f>
              <c:numCache>
                <c:formatCode>0.00%</c:formatCode>
                <c:ptCount val="1"/>
                <c:pt idx="0">
                  <c:v>0.04</c:v>
                </c:pt>
              </c:numCache>
            </c:numRef>
          </c:val>
          <c:extLst>
            <c:ext xmlns:c16="http://schemas.microsoft.com/office/drawing/2014/chart" uri="{C3380CC4-5D6E-409C-BE32-E72D297353CC}">
              <c16:uniqueId val="{00000065-7319-45E3-9B2D-683B54DFBC0F}"/>
            </c:ext>
          </c:extLst>
        </c:ser>
        <c:dLbls>
          <c:showLegendKey val="0"/>
          <c:showVal val="0"/>
          <c:showCatName val="0"/>
          <c:showSerName val="0"/>
          <c:showPercent val="0"/>
          <c:showBubbleSize val="0"/>
        </c:dLbls>
        <c:gapWidth val="115"/>
        <c:overlap val="-20"/>
        <c:axId val="900608816"/>
        <c:axId val="900616496"/>
      </c:barChart>
      <c:catAx>
        <c:axId val="900608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l-GR"/>
          </a:p>
        </c:txPr>
        <c:crossAx val="900616496"/>
        <c:crosses val="autoZero"/>
        <c:auto val="1"/>
        <c:lblAlgn val="ctr"/>
        <c:lblOffset val="100"/>
        <c:noMultiLvlLbl val="0"/>
      </c:catAx>
      <c:valAx>
        <c:axId val="900616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l-GR"/>
          </a:p>
        </c:txPr>
        <c:crossAx val="900608816"/>
        <c:crosses val="autoZero"/>
        <c:crossBetween val="between"/>
      </c:valAx>
      <c:spPr>
        <a:noFill/>
        <a:ln>
          <a:noFill/>
        </a:ln>
        <a:effectLst/>
      </c:spPr>
    </c:plotArea>
    <c:legend>
      <c:legendPos val="r"/>
      <c:layout>
        <c:manualLayout>
          <c:xMode val="edge"/>
          <c:yMode val="edge"/>
          <c:x val="0.76490405365995917"/>
          <c:y val="0.16882016143655457"/>
          <c:w val="0.21966039249915739"/>
          <c:h val="0.58897099501544259"/>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l-G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[Book1.xlsx]Dashboard_Charts!PivotTable35</c:name>
    <c:fmtId val="16"/>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a:outerShdw blurRad="57150" dist="19050" dir="5400000" algn="ctr" rotWithShape="0">
              <a:srgbClr val="000000">
                <a:alpha val="63000"/>
              </a:srgbClr>
            </a:outerShdw>
          </a:effectLst>
        </c:spPr>
        <c:marker>
          <c:symbol val="squar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a:noFill/>
          </a:ln>
          <a:effectLst>
            <a:outerShdw blurRad="57150" dist="19050" dir="5400000" algn="ctr" rotWithShape="0">
              <a:srgbClr val="000000">
                <a:alpha val="63000"/>
              </a:srgbClr>
            </a:outerShdw>
          </a:effectLst>
        </c:spPr>
        <c:marker>
          <c:symbol val="triang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75000"/>
            </a:schemeClr>
          </a:solidFill>
          <a:ln>
            <a:noFill/>
          </a:ln>
          <a:effectLst>
            <a:outerShdw blurRad="57150" dist="19050" dir="5400000" algn="ctr" rotWithShape="0">
              <a:srgbClr val="000000">
                <a:alpha val="63000"/>
              </a:srgbClr>
            </a:outerShdw>
          </a:effectLst>
        </c:spPr>
        <c:marker>
          <c:symbol val="x"/>
          <c:size val="5"/>
          <c:spPr>
            <a:no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75000"/>
            </a:schemeClr>
          </a:solidFill>
          <a:ln>
            <a:noFill/>
          </a:ln>
          <a:effectLst>
            <a:outerShdw blurRad="57150" dist="19050" dir="5400000" algn="ctr" rotWithShape="0">
              <a:srgbClr val="000000">
                <a:alpha val="63000"/>
              </a:srgbClr>
            </a:outerShdw>
          </a:effectLst>
        </c:spPr>
        <c:marker>
          <c:symbol val="star"/>
          <c:size val="5"/>
          <c:spPr>
            <a:no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75000"/>
            </a:schemeClr>
          </a:solidFill>
          <a:ln>
            <a:noFill/>
          </a:ln>
          <a:effectLst>
            <a:outerShdw blurRad="57150" dist="19050" dir="5400000" algn="ctr" rotWithShape="0">
              <a:srgbClr val="000000">
                <a:alpha val="63000"/>
              </a:srgbClr>
            </a:outerShdw>
          </a:effectLst>
        </c:spPr>
        <c:marker>
          <c:symbol val="circle"/>
          <c:size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75000"/>
            </a:schemeClr>
          </a:solidFill>
          <a:ln>
            <a:noFill/>
          </a:ln>
          <a:effectLst>
            <a:outerShdw blurRad="57150" dist="19050" dir="5400000" algn="ctr" rotWithShape="0">
              <a:srgbClr val="000000">
                <a:alpha val="63000"/>
              </a:srgbClr>
            </a:outerShdw>
          </a:effectLst>
        </c:spPr>
        <c:marker>
          <c:symbol val="plus"/>
          <c:size val="5"/>
          <c:spPr>
            <a:no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a:outerShdw blurRad="57150" dist="19050" dir="5400000" algn="ctr" rotWithShape="0">
              <a:srgbClr val="000000">
                <a:alpha val="63000"/>
              </a:srgbClr>
            </a:outerShdw>
          </a:effectLst>
        </c:spPr>
        <c:marker>
          <c:symbol val="dot"/>
          <c:size val="5"/>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75000"/>
            </a:schemeClr>
          </a:solidFill>
          <a:ln>
            <a:noFill/>
          </a:ln>
          <a:effectLst>
            <a:outerShdw blurRad="57150" dist="19050" dir="5400000" algn="ctr" rotWithShape="0">
              <a:srgbClr val="000000">
                <a:alpha val="63000"/>
              </a:srgbClr>
            </a:outerShdw>
          </a:effectLst>
        </c:spPr>
        <c:marker>
          <c:symbol val="dash"/>
          <c:size val="5"/>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75000"/>
              <a:lumOff val="2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75000"/>
            </a:schemeClr>
          </a:solidFill>
          <a:ln>
            <a:noFill/>
          </a:ln>
          <a:effectLst>
            <a:outerShdw blurRad="57150" dist="19050" dir="5400000" algn="ctr" rotWithShape="0">
              <a:srgbClr val="000000">
                <a:alpha val="63000"/>
              </a:srgbClr>
            </a:outerShdw>
          </a:effectLst>
        </c:spPr>
      </c:pivotFmt>
      <c:pivotFmt>
        <c:idx val="31"/>
        <c:spPr>
          <a:solidFill>
            <a:schemeClr val="accent4">
              <a:lumMod val="75000"/>
            </a:schemeClr>
          </a:solidFill>
          <a:ln>
            <a:noFill/>
          </a:ln>
          <a:effectLst>
            <a:outerShdw blurRad="57150" dist="19050" dir="5400000" algn="ctr" rotWithShape="0">
              <a:srgbClr val="000000">
                <a:alpha val="63000"/>
              </a:srgbClr>
            </a:outerShdw>
          </a:effectLst>
        </c:spPr>
      </c:pivotFmt>
      <c:pivotFmt>
        <c:idx val="32"/>
        <c:spPr>
          <a:solidFill>
            <a:schemeClr val="accent4">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9865819644607091E-2"/>
          <c:y val="9.865233192004845E-2"/>
          <c:w val="0.63978961826662872"/>
          <c:h val="0.82725065616797899"/>
        </c:manualLayout>
      </c:layout>
      <c:barChart>
        <c:barDir val="bar"/>
        <c:grouping val="clustered"/>
        <c:varyColors val="0"/>
        <c:ser>
          <c:idx val="0"/>
          <c:order val="0"/>
          <c:tx>
            <c:strRef>
              <c:f>Dashboard_Charts!$B$7:$B$8</c:f>
              <c:strCache>
                <c:ptCount val="1"/>
                <c:pt idx="0">
                  <c:v>Asthma</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Dashboard_Charts!$B$9</c:f>
              <c:numCache>
                <c:formatCode>General</c:formatCode>
                <c:ptCount val="1"/>
                <c:pt idx="0">
                  <c:v>9</c:v>
                </c:pt>
              </c:numCache>
            </c:numRef>
          </c:val>
          <c:extLst>
            <c:ext xmlns:c16="http://schemas.microsoft.com/office/drawing/2014/chart" uri="{C3380CC4-5D6E-409C-BE32-E72D297353CC}">
              <c16:uniqueId val="{00000000-8E3E-46B5-8678-CB22B76E9A8D}"/>
            </c:ext>
          </c:extLst>
        </c:ser>
        <c:ser>
          <c:idx val="1"/>
          <c:order val="1"/>
          <c:tx>
            <c:strRef>
              <c:f>Dashboard_Charts!$C$7:$C$8</c:f>
              <c:strCache>
                <c:ptCount val="1"/>
                <c:pt idx="0">
                  <c:v>Chronic Kidney Disease</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Dashboard_Charts!$C$9</c:f>
              <c:numCache>
                <c:formatCode>General</c:formatCode>
                <c:ptCount val="1"/>
                <c:pt idx="0">
                  <c:v>10</c:v>
                </c:pt>
              </c:numCache>
            </c:numRef>
          </c:val>
          <c:extLst>
            <c:ext xmlns:c16="http://schemas.microsoft.com/office/drawing/2014/chart" uri="{C3380CC4-5D6E-409C-BE32-E72D297353CC}">
              <c16:uniqueId val="{00000036-8E3E-46B5-8678-CB22B76E9A8D}"/>
            </c:ext>
          </c:extLst>
        </c:ser>
        <c:ser>
          <c:idx val="2"/>
          <c:order val="2"/>
          <c:tx>
            <c:strRef>
              <c:f>Dashboard_Charts!$D$7:$D$8</c:f>
              <c:strCache>
                <c:ptCount val="1"/>
                <c:pt idx="0">
                  <c:v>COPD</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Dashboard_Charts!$D$9</c:f>
              <c:numCache>
                <c:formatCode>General</c:formatCode>
                <c:ptCount val="1"/>
                <c:pt idx="0">
                  <c:v>10</c:v>
                </c:pt>
              </c:numCache>
            </c:numRef>
          </c:val>
          <c:extLst>
            <c:ext xmlns:c16="http://schemas.microsoft.com/office/drawing/2014/chart" uri="{C3380CC4-5D6E-409C-BE32-E72D297353CC}">
              <c16:uniqueId val="{00000037-8E3E-46B5-8678-CB22B76E9A8D}"/>
            </c:ext>
          </c:extLst>
        </c:ser>
        <c:ser>
          <c:idx val="3"/>
          <c:order val="3"/>
          <c:tx>
            <c:strRef>
              <c:f>Dashboard_Charts!$E$7:$E$8</c:f>
              <c:strCache>
                <c:ptCount val="1"/>
                <c:pt idx="0">
                  <c:v>Coronary Artery Disease</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Dashboard_Charts!$E$9</c:f>
              <c:numCache>
                <c:formatCode>General</c:formatCode>
                <c:ptCount val="1"/>
                <c:pt idx="0">
                  <c:v>9</c:v>
                </c:pt>
              </c:numCache>
            </c:numRef>
          </c:val>
          <c:extLst>
            <c:ext xmlns:c16="http://schemas.microsoft.com/office/drawing/2014/chart" uri="{C3380CC4-5D6E-409C-BE32-E72D297353CC}">
              <c16:uniqueId val="{00000038-8E3E-46B5-8678-CB22B76E9A8D}"/>
            </c:ext>
          </c:extLst>
        </c:ser>
        <c:ser>
          <c:idx val="4"/>
          <c:order val="4"/>
          <c:tx>
            <c:strRef>
              <c:f>Dashboard_Charts!$F$7:$F$8</c:f>
              <c:strCache>
                <c:ptCount val="1"/>
                <c:pt idx="0">
                  <c:v>Depression</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Dashboard_Charts!$F$9</c:f>
              <c:numCache>
                <c:formatCode>General</c:formatCode>
                <c:ptCount val="1"/>
                <c:pt idx="0">
                  <c:v>14</c:v>
                </c:pt>
              </c:numCache>
            </c:numRef>
          </c:val>
          <c:extLst>
            <c:ext xmlns:c16="http://schemas.microsoft.com/office/drawing/2014/chart" uri="{C3380CC4-5D6E-409C-BE32-E72D297353CC}">
              <c16:uniqueId val="{00000039-8E3E-46B5-8678-CB22B76E9A8D}"/>
            </c:ext>
          </c:extLst>
        </c:ser>
        <c:ser>
          <c:idx val="5"/>
          <c:order val="5"/>
          <c:tx>
            <c:strRef>
              <c:f>Dashboard_Charts!$G$7:$G$8</c:f>
              <c:strCache>
                <c:ptCount val="1"/>
                <c:pt idx="0">
                  <c:v>Diabetes Type 2</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Dashboard_Charts!$G$9</c:f>
              <c:numCache>
                <c:formatCode>General</c:formatCode>
                <c:ptCount val="1"/>
                <c:pt idx="0">
                  <c:v>10</c:v>
                </c:pt>
              </c:numCache>
            </c:numRef>
          </c:val>
          <c:extLst>
            <c:ext xmlns:c16="http://schemas.microsoft.com/office/drawing/2014/chart" uri="{C3380CC4-5D6E-409C-BE32-E72D297353CC}">
              <c16:uniqueId val="{0000003A-8E3E-46B5-8678-CB22B76E9A8D}"/>
            </c:ext>
          </c:extLst>
        </c:ser>
        <c:ser>
          <c:idx val="6"/>
          <c:order val="6"/>
          <c:tx>
            <c:strRef>
              <c:f>Dashboard_Charts!$H$7:$H$8</c:f>
              <c:strCache>
                <c:ptCount val="1"/>
                <c:pt idx="0">
                  <c:v>Hypertension</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Dashboard_Charts!$H$9</c:f>
              <c:numCache>
                <c:formatCode>General</c:formatCode>
                <c:ptCount val="1"/>
                <c:pt idx="0">
                  <c:v>9</c:v>
                </c:pt>
              </c:numCache>
            </c:numRef>
          </c:val>
          <c:extLst>
            <c:ext xmlns:c16="http://schemas.microsoft.com/office/drawing/2014/chart" uri="{C3380CC4-5D6E-409C-BE32-E72D297353CC}">
              <c16:uniqueId val="{0000003B-8E3E-46B5-8678-CB22B76E9A8D}"/>
            </c:ext>
          </c:extLst>
        </c:ser>
        <c:ser>
          <c:idx val="7"/>
          <c:order val="7"/>
          <c:tx>
            <c:strRef>
              <c:f>Dashboard_Charts!$I$7:$I$8</c:f>
              <c:strCache>
                <c:ptCount val="1"/>
                <c:pt idx="0">
                  <c:v>Hypothyroidism</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Dashboard_Charts!$I$9</c:f>
              <c:numCache>
                <c:formatCode>General</c:formatCode>
                <c:ptCount val="1"/>
                <c:pt idx="0">
                  <c:v>14</c:v>
                </c:pt>
              </c:numCache>
            </c:numRef>
          </c:val>
          <c:extLst>
            <c:ext xmlns:c16="http://schemas.microsoft.com/office/drawing/2014/chart" uri="{C3380CC4-5D6E-409C-BE32-E72D297353CC}">
              <c16:uniqueId val="{0000003C-8E3E-46B5-8678-CB22B76E9A8D}"/>
            </c:ext>
          </c:extLst>
        </c:ser>
        <c:ser>
          <c:idx val="8"/>
          <c:order val="8"/>
          <c:tx>
            <c:strRef>
              <c:f>Dashboard_Charts!$J$7:$J$8</c:f>
              <c:strCache>
                <c:ptCount val="1"/>
                <c:pt idx="0">
                  <c:v>Osteoarthritis</c:v>
                </c:pt>
              </c:strCache>
            </c:strRef>
          </c:tx>
          <c:spPr>
            <a:solidFill>
              <a:schemeClr val="accent4">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Dashboard_Charts!$J$9</c:f>
              <c:numCache>
                <c:formatCode>General</c:formatCode>
                <c:ptCount val="1"/>
                <c:pt idx="0">
                  <c:v>11</c:v>
                </c:pt>
              </c:numCache>
            </c:numRef>
          </c:val>
          <c:extLst>
            <c:ext xmlns:c16="http://schemas.microsoft.com/office/drawing/2014/chart" uri="{C3380CC4-5D6E-409C-BE32-E72D297353CC}">
              <c16:uniqueId val="{0000003D-8E3E-46B5-8678-CB22B76E9A8D}"/>
            </c:ext>
          </c:extLst>
        </c:ser>
        <c:ser>
          <c:idx val="9"/>
          <c:order val="9"/>
          <c:tx>
            <c:strRef>
              <c:f>Dashboard_Charts!$K$7:$K$8</c:f>
              <c:strCache>
                <c:ptCount val="1"/>
                <c:pt idx="0">
                  <c:v>Rheumatoid Arthritis</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l-G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Dashboard_Charts!$A$9</c:f>
              <c:strCache>
                <c:ptCount val="1"/>
                <c:pt idx="0">
                  <c:v>Total</c:v>
                </c:pt>
              </c:strCache>
            </c:strRef>
          </c:cat>
          <c:val>
            <c:numRef>
              <c:f>Dashboard_Charts!$K$9</c:f>
              <c:numCache>
                <c:formatCode>General</c:formatCode>
                <c:ptCount val="1"/>
                <c:pt idx="0">
                  <c:v>4</c:v>
                </c:pt>
              </c:numCache>
            </c:numRef>
          </c:val>
          <c:extLst>
            <c:ext xmlns:c16="http://schemas.microsoft.com/office/drawing/2014/chart" uri="{C3380CC4-5D6E-409C-BE32-E72D297353CC}">
              <c16:uniqueId val="{0000003E-8E3E-46B5-8678-CB22B76E9A8D}"/>
            </c:ext>
          </c:extLst>
        </c:ser>
        <c:dLbls>
          <c:dLblPos val="outEnd"/>
          <c:showLegendKey val="0"/>
          <c:showVal val="1"/>
          <c:showCatName val="0"/>
          <c:showSerName val="0"/>
          <c:showPercent val="0"/>
          <c:showBubbleSize val="0"/>
        </c:dLbls>
        <c:gapWidth val="115"/>
        <c:overlap val="-20"/>
        <c:axId val="1874412864"/>
        <c:axId val="1874413344"/>
      </c:barChart>
      <c:catAx>
        <c:axId val="18744128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l-GR"/>
          </a:p>
        </c:txPr>
        <c:crossAx val="1874413344"/>
        <c:crosses val="autoZero"/>
        <c:auto val="1"/>
        <c:lblAlgn val="ctr"/>
        <c:lblOffset val="100"/>
        <c:noMultiLvlLbl val="0"/>
      </c:catAx>
      <c:valAx>
        <c:axId val="187441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l-GR"/>
          </a:p>
        </c:txPr>
        <c:crossAx val="1874412864"/>
        <c:crosses val="autoZero"/>
        <c:crossBetween val="between"/>
      </c:valAx>
      <c:spPr>
        <a:noFill/>
        <a:ln>
          <a:noFill/>
        </a:ln>
        <a:effectLst/>
      </c:spPr>
    </c:plotArea>
    <c:legend>
      <c:legendPos val="r"/>
      <c:layout>
        <c:manualLayout>
          <c:xMode val="edge"/>
          <c:yMode val="edge"/>
          <c:x val="0.70803396472893532"/>
          <c:y val="7.9511578580352738E-2"/>
          <c:w val="0.29196603527106468"/>
          <c:h val="0.8925744060590212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aseline="0"/>
      </a:pPr>
      <a:endParaRPr lang="el-G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14.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png"/><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180292</xdr:rowOff>
    </xdr:from>
    <xdr:to>
      <xdr:col>3</xdr:col>
      <xdr:colOff>38100</xdr:colOff>
      <xdr:row>34</xdr:row>
      <xdr:rowOff>130762</xdr:rowOff>
    </xdr:to>
    <xdr:graphicFrame macro="">
      <xdr:nvGraphicFramePr>
        <xdr:cNvPr id="2" name="Chart 1">
          <a:extLst>
            <a:ext uri="{FF2B5EF4-FFF2-40B4-BE49-F238E27FC236}">
              <a16:creationId xmlns:a16="http://schemas.microsoft.com/office/drawing/2014/main" id="{31CA188C-13BE-E2E3-65CF-6DD3341E7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1164567</xdr:colOff>
      <xdr:row>22</xdr:row>
      <xdr:rowOff>35152</xdr:rowOff>
    </xdr:from>
    <xdr:to>
      <xdr:col>15</xdr:col>
      <xdr:colOff>230037</xdr:colOff>
      <xdr:row>34</xdr:row>
      <xdr:rowOff>172527</xdr:rowOff>
    </xdr:to>
    <xdr:graphicFrame macro="">
      <xdr:nvGraphicFramePr>
        <xdr:cNvPr id="3" name="Chart 2">
          <a:extLst>
            <a:ext uri="{FF2B5EF4-FFF2-40B4-BE49-F238E27FC236}">
              <a16:creationId xmlns:a16="http://schemas.microsoft.com/office/drawing/2014/main" id="{F657D806-881F-0C3A-6046-95EAF43A5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165052</xdr:colOff>
      <xdr:row>22</xdr:row>
      <xdr:rowOff>10711</xdr:rowOff>
    </xdr:from>
    <xdr:to>
      <xdr:col>8</xdr:col>
      <xdr:colOff>1049547</xdr:colOff>
      <xdr:row>34</xdr:row>
      <xdr:rowOff>143773</xdr:rowOff>
    </xdr:to>
    <xdr:graphicFrame macro="">
      <xdr:nvGraphicFramePr>
        <xdr:cNvPr id="4" name="Chart 3">
          <a:extLst>
            <a:ext uri="{FF2B5EF4-FFF2-40B4-BE49-F238E27FC236}">
              <a16:creationId xmlns:a16="http://schemas.microsoft.com/office/drawing/2014/main" id="{7B1F92D2-07F9-6974-C352-2555D5039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11357</xdr:colOff>
      <xdr:row>10</xdr:row>
      <xdr:rowOff>139304</xdr:rowOff>
    </xdr:from>
    <xdr:to>
      <xdr:col>8</xdr:col>
      <xdr:colOff>1215341</xdr:colOff>
      <xdr:row>17</xdr:row>
      <xdr:rowOff>90996</xdr:rowOff>
    </xdr:to>
    <mc:AlternateContent xmlns:mc="http://schemas.openxmlformats.org/markup-compatibility/2006" xmlns:sle15="http://schemas.microsoft.com/office/drawing/2012/slicer">
      <mc:Choice Requires="sle15">
        <xdr:graphicFrame macro="">
          <xdr:nvGraphicFramePr>
            <xdr:cNvPr id="5" name="Visit_Year 1">
              <a:extLst>
                <a:ext uri="{FF2B5EF4-FFF2-40B4-BE49-F238E27FC236}">
                  <a16:creationId xmlns:a16="http://schemas.microsoft.com/office/drawing/2014/main" id="{9E5EFF8A-9D32-4965-8A22-56C02ECA3002}"/>
                </a:ext>
              </a:extLst>
            </xdr:cNvPr>
            <xdr:cNvGraphicFramePr/>
          </xdr:nvGraphicFramePr>
          <xdr:xfrm>
            <a:off x="0" y="0"/>
            <a:ext cx="0" cy="0"/>
          </xdr:xfrm>
          <a:graphic>
            <a:graphicData uri="http://schemas.microsoft.com/office/drawing/2010/slicer">
              <sle:slicer xmlns:sle="http://schemas.microsoft.com/office/drawing/2010/slicer" name="Visit_Year 1"/>
            </a:graphicData>
          </a:graphic>
        </xdr:graphicFrame>
      </mc:Choice>
      <mc:Fallback xmlns="">
        <xdr:sp macro="" textlink="">
          <xdr:nvSpPr>
            <xdr:cNvPr id="0" name=""/>
            <xdr:cNvSpPr>
              <a:spLocks noTextEdit="1"/>
            </xdr:cNvSpPr>
          </xdr:nvSpPr>
          <xdr:spPr>
            <a:xfrm>
              <a:off x="5422522" y="2058772"/>
              <a:ext cx="1956338" cy="1234553"/>
            </a:xfrm>
            <a:prstGeom prst="rect">
              <a:avLst/>
            </a:prstGeom>
            <a:solidFill>
              <a:prstClr val="white"/>
            </a:solidFill>
            <a:ln w="1">
              <a:solidFill>
                <a:prstClr val="green"/>
              </a:solidFill>
            </a:ln>
          </xdr:spPr>
          <xdr:txBody>
            <a:bodyPr vertOverflow="clip" horzOverflow="clip"/>
            <a:lstStyle/>
            <a:p>
              <a:r>
                <a:rPr lang="el-G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503207</xdr:colOff>
      <xdr:row>3</xdr:row>
      <xdr:rowOff>119752</xdr:rowOff>
    </xdr:from>
    <xdr:to>
      <xdr:col>13</xdr:col>
      <xdr:colOff>244415</xdr:colOff>
      <xdr:row>16</xdr:row>
      <xdr:rowOff>90998</xdr:rowOff>
    </xdr:to>
    <mc:AlternateContent xmlns:mc="http://schemas.openxmlformats.org/markup-compatibility/2006" xmlns:sle15="http://schemas.microsoft.com/office/drawing/2012/slicer">
      <mc:Choice Requires="sle15">
        <xdr:graphicFrame macro="">
          <xdr:nvGraphicFramePr>
            <xdr:cNvPr id="7" name="Department 1">
              <a:extLst>
                <a:ext uri="{FF2B5EF4-FFF2-40B4-BE49-F238E27FC236}">
                  <a16:creationId xmlns:a16="http://schemas.microsoft.com/office/drawing/2014/main" id="{9F942C5F-8854-4950-ABF4-190D892A4B5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82068" y="679195"/>
              <a:ext cx="2171891" cy="2430866"/>
            </a:xfrm>
            <a:prstGeom prst="rect">
              <a:avLst/>
            </a:prstGeom>
            <a:solidFill>
              <a:prstClr val="white"/>
            </a:solidFill>
            <a:ln w="1">
              <a:solidFill>
                <a:prstClr val="green"/>
              </a:solidFill>
            </a:ln>
          </xdr:spPr>
          <xdr:txBody>
            <a:bodyPr vertOverflow="clip" horzOverflow="clip"/>
            <a:lstStyle/>
            <a:p>
              <a:r>
                <a:rPr lang="el-G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348080</xdr:colOff>
      <xdr:row>9</xdr:row>
      <xdr:rowOff>147649</xdr:rowOff>
    </xdr:from>
    <xdr:to>
      <xdr:col>5</xdr:col>
      <xdr:colOff>19197</xdr:colOff>
      <xdr:row>25</xdr:row>
      <xdr:rowOff>122438</xdr:rowOff>
    </xdr:to>
    <xdr:graphicFrame macro="">
      <xdr:nvGraphicFramePr>
        <xdr:cNvPr id="2" name="Chart 1">
          <a:extLst>
            <a:ext uri="{FF2B5EF4-FFF2-40B4-BE49-F238E27FC236}">
              <a16:creationId xmlns:a16="http://schemas.microsoft.com/office/drawing/2014/main" id="{A94B90F6-2B90-2582-BEAB-0D308FA6E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173473</xdr:colOff>
      <xdr:row>28</xdr:row>
      <xdr:rowOff>3434</xdr:rowOff>
    </xdr:from>
    <xdr:to>
      <xdr:col>9</xdr:col>
      <xdr:colOff>893704</xdr:colOff>
      <xdr:row>42</xdr:row>
      <xdr:rowOff>172766</xdr:rowOff>
    </xdr:to>
    <xdr:graphicFrame macro="">
      <xdr:nvGraphicFramePr>
        <xdr:cNvPr id="3" name="Chart 2">
          <a:extLst>
            <a:ext uri="{FF2B5EF4-FFF2-40B4-BE49-F238E27FC236}">
              <a16:creationId xmlns:a16="http://schemas.microsoft.com/office/drawing/2014/main" id="{610591A6-174A-A213-354F-11E193437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154424</xdr:colOff>
      <xdr:row>45</xdr:row>
      <xdr:rowOff>122296</xdr:rowOff>
    </xdr:from>
    <xdr:to>
      <xdr:col>10</xdr:col>
      <xdr:colOff>818446</xdr:colOff>
      <xdr:row>58</xdr:row>
      <xdr:rowOff>28223</xdr:rowOff>
    </xdr:to>
    <xdr:graphicFrame macro="">
      <xdr:nvGraphicFramePr>
        <xdr:cNvPr id="4" name="Chart 3">
          <a:extLst>
            <a:ext uri="{FF2B5EF4-FFF2-40B4-BE49-F238E27FC236}">
              <a16:creationId xmlns:a16="http://schemas.microsoft.com/office/drawing/2014/main" id="{78AEC5EE-AC0F-E0C5-073A-1F08E4032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216369</xdr:colOff>
      <xdr:row>64</xdr:row>
      <xdr:rowOff>159314</xdr:rowOff>
    </xdr:from>
    <xdr:to>
      <xdr:col>5</xdr:col>
      <xdr:colOff>206585</xdr:colOff>
      <xdr:row>80</xdr:row>
      <xdr:rowOff>131092</xdr:rowOff>
    </xdr:to>
    <xdr:graphicFrame macro="">
      <xdr:nvGraphicFramePr>
        <xdr:cNvPr id="5" name="Chart 4">
          <a:extLst>
            <a:ext uri="{FF2B5EF4-FFF2-40B4-BE49-F238E27FC236}">
              <a16:creationId xmlns:a16="http://schemas.microsoft.com/office/drawing/2014/main" id="{A4CFC076-C3DE-3CB9-EE61-A5267A321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169426</xdr:colOff>
      <xdr:row>84</xdr:row>
      <xdr:rowOff>168252</xdr:rowOff>
    </xdr:from>
    <xdr:to>
      <xdr:col>9</xdr:col>
      <xdr:colOff>569147</xdr:colOff>
      <xdr:row>99</xdr:row>
      <xdr:rowOff>168252</xdr:rowOff>
    </xdr:to>
    <xdr:graphicFrame macro="">
      <xdr:nvGraphicFramePr>
        <xdr:cNvPr id="6" name="Chart 5">
          <a:extLst>
            <a:ext uri="{FF2B5EF4-FFF2-40B4-BE49-F238E27FC236}">
              <a16:creationId xmlns:a16="http://schemas.microsoft.com/office/drawing/2014/main" id="{7FB5E4A5-94D5-F99D-8FE5-97C540CF3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134902</xdr:colOff>
      <xdr:row>104</xdr:row>
      <xdr:rowOff>12371</xdr:rowOff>
    </xdr:from>
    <xdr:to>
      <xdr:col>14</xdr:col>
      <xdr:colOff>185138</xdr:colOff>
      <xdr:row>119</xdr:row>
      <xdr:rowOff>12371</xdr:rowOff>
    </xdr:to>
    <xdr:graphicFrame macro="">
      <xdr:nvGraphicFramePr>
        <xdr:cNvPr id="7" name="Chart 6">
          <a:extLst>
            <a:ext uri="{FF2B5EF4-FFF2-40B4-BE49-F238E27FC236}">
              <a16:creationId xmlns:a16="http://schemas.microsoft.com/office/drawing/2014/main" id="{CE3DD333-EE1B-1372-4D55-7FEFD680F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421170</xdr:colOff>
      <xdr:row>65</xdr:row>
      <xdr:rowOff>79963</xdr:rowOff>
    </xdr:from>
    <xdr:to>
      <xdr:col>7</xdr:col>
      <xdr:colOff>735377</xdr:colOff>
      <xdr:row>79</xdr:row>
      <xdr:rowOff>158867</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6515FED1-6FDE-54E3-91E9-01524EF393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962133" y="12347222"/>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45156</xdr:colOff>
      <xdr:row>65</xdr:row>
      <xdr:rowOff>80245</xdr:rowOff>
    </xdr:from>
    <xdr:to>
      <xdr:col>10</xdr:col>
      <xdr:colOff>227660</xdr:colOff>
      <xdr:row>79</xdr:row>
      <xdr:rowOff>159149</xdr:rowOff>
    </xdr:to>
    <mc:AlternateContent xmlns:mc="http://schemas.openxmlformats.org/markup-compatibility/2006">
      <mc:Choice xmlns:a14="http://schemas.microsoft.com/office/drawing/2010/main" Requires="a14">
        <xdr:graphicFrame macro="">
          <xdr:nvGraphicFramePr>
            <xdr:cNvPr id="12" name="Visit_Year">
              <a:extLst>
                <a:ext uri="{FF2B5EF4-FFF2-40B4-BE49-F238E27FC236}">
                  <a16:creationId xmlns:a16="http://schemas.microsoft.com/office/drawing/2014/main" id="{64D47D41-FB5D-4876-F100-0460CEC8CE33}"/>
                </a:ext>
              </a:extLst>
            </xdr:cNvPr>
            <xdr:cNvGraphicFramePr/>
          </xdr:nvGraphicFramePr>
          <xdr:xfrm>
            <a:off x="0" y="0"/>
            <a:ext cx="0" cy="0"/>
          </xdr:xfrm>
          <a:graphic>
            <a:graphicData uri="http://schemas.microsoft.com/office/drawing/2010/slicer">
              <sle:slicer xmlns:sle="http://schemas.microsoft.com/office/drawing/2010/slicer" name="Visit_Year"/>
            </a:graphicData>
          </a:graphic>
        </xdr:graphicFrame>
      </mc:Choice>
      <mc:Fallback>
        <xdr:sp macro="" textlink="">
          <xdr:nvSpPr>
            <xdr:cNvPr id="0" name=""/>
            <xdr:cNvSpPr>
              <a:spLocks noTextEdit="1"/>
            </xdr:cNvSpPr>
          </xdr:nvSpPr>
          <xdr:spPr>
            <a:xfrm>
              <a:off x="8032045" y="12347504"/>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176577</xdr:colOff>
      <xdr:row>28</xdr:row>
      <xdr:rowOff>11761</xdr:rowOff>
    </xdr:from>
    <xdr:to>
      <xdr:col>11</xdr:col>
      <xdr:colOff>688340</xdr:colOff>
      <xdr:row>42</xdr:row>
      <xdr:rowOff>90666</xdr:rowOff>
    </xdr:to>
    <mc:AlternateContent xmlns:mc="http://schemas.openxmlformats.org/markup-compatibility/2006">
      <mc:Choice xmlns:a14="http://schemas.microsoft.com/office/drawing/2010/main" Requires="a14">
        <xdr:graphicFrame macro="">
          <xdr:nvGraphicFramePr>
            <xdr:cNvPr id="13" name="Department 2">
              <a:extLst>
                <a:ext uri="{FF2B5EF4-FFF2-40B4-BE49-F238E27FC236}">
                  <a16:creationId xmlns:a16="http://schemas.microsoft.com/office/drawing/2014/main" id="{20B0F046-0306-60CF-8A7D-333E5ECCBA3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9809762" y="5336354"/>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82785</xdr:colOff>
      <xdr:row>28</xdr:row>
      <xdr:rowOff>12043</xdr:rowOff>
    </xdr:from>
    <xdr:to>
      <xdr:col>14</xdr:col>
      <xdr:colOff>575733</xdr:colOff>
      <xdr:row>42</xdr:row>
      <xdr:rowOff>90948</xdr:rowOff>
    </xdr:to>
    <mc:AlternateContent xmlns:mc="http://schemas.openxmlformats.org/markup-compatibility/2006">
      <mc:Choice xmlns:a14="http://schemas.microsoft.com/office/drawing/2010/main" Requires="a14">
        <xdr:graphicFrame macro="">
          <xdr:nvGraphicFramePr>
            <xdr:cNvPr id="14" name="Visit_Year 2">
              <a:extLst>
                <a:ext uri="{FF2B5EF4-FFF2-40B4-BE49-F238E27FC236}">
                  <a16:creationId xmlns:a16="http://schemas.microsoft.com/office/drawing/2014/main" id="{7AF1DA00-8DBF-0804-B318-E1686AC1F9F7}"/>
                </a:ext>
              </a:extLst>
            </xdr:cNvPr>
            <xdr:cNvGraphicFramePr/>
          </xdr:nvGraphicFramePr>
          <xdr:xfrm>
            <a:off x="0" y="0"/>
            <a:ext cx="0" cy="0"/>
          </xdr:xfrm>
          <a:graphic>
            <a:graphicData uri="http://schemas.microsoft.com/office/drawing/2010/slicer">
              <sle:slicer xmlns:sle="http://schemas.microsoft.com/office/drawing/2010/slicer" name="Visit_Year 2"/>
            </a:graphicData>
          </a:graphic>
        </xdr:graphicFrame>
      </mc:Choice>
      <mc:Fallback>
        <xdr:sp macro="" textlink="">
          <xdr:nvSpPr>
            <xdr:cNvPr id="0" name=""/>
            <xdr:cNvSpPr>
              <a:spLocks noTextEdit="1"/>
            </xdr:cNvSpPr>
          </xdr:nvSpPr>
          <xdr:spPr>
            <a:xfrm>
              <a:off x="11776192" y="5336636"/>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325213</xdr:colOff>
      <xdr:row>9</xdr:row>
      <xdr:rowOff>153621</xdr:rowOff>
    </xdr:from>
    <xdr:to>
      <xdr:col>7</xdr:col>
      <xdr:colOff>639420</xdr:colOff>
      <xdr:row>24</xdr:row>
      <xdr:rowOff>53785</xdr:rowOff>
    </xdr:to>
    <mc:AlternateContent xmlns:mc="http://schemas.openxmlformats.org/markup-compatibility/2006">
      <mc:Choice xmlns:a14="http://schemas.microsoft.com/office/drawing/2010/main" Requires="a14">
        <xdr:graphicFrame macro="">
          <xdr:nvGraphicFramePr>
            <xdr:cNvPr id="15" name="Department 3">
              <a:extLst>
                <a:ext uri="{FF2B5EF4-FFF2-40B4-BE49-F238E27FC236}">
                  <a16:creationId xmlns:a16="http://schemas.microsoft.com/office/drawing/2014/main" id="{6A8E928B-3976-A006-6FFD-E4F7FDD94C83}"/>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5866176" y="1922214"/>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929451</xdr:colOff>
      <xdr:row>9</xdr:row>
      <xdr:rowOff>172720</xdr:rowOff>
    </xdr:from>
    <xdr:to>
      <xdr:col>10</xdr:col>
      <xdr:colOff>180622</xdr:colOff>
      <xdr:row>24</xdr:row>
      <xdr:rowOff>72884</xdr:rowOff>
    </xdr:to>
    <mc:AlternateContent xmlns:mc="http://schemas.openxmlformats.org/markup-compatibility/2006">
      <mc:Choice xmlns:a14="http://schemas.microsoft.com/office/drawing/2010/main" Requires="a14">
        <xdr:graphicFrame macro="">
          <xdr:nvGraphicFramePr>
            <xdr:cNvPr id="16" name="Visit_Year 3">
              <a:extLst>
                <a:ext uri="{FF2B5EF4-FFF2-40B4-BE49-F238E27FC236}">
                  <a16:creationId xmlns:a16="http://schemas.microsoft.com/office/drawing/2014/main" id="{6C82171A-F759-728A-5DE2-81760B8F7D06}"/>
                </a:ext>
              </a:extLst>
            </xdr:cNvPr>
            <xdr:cNvGraphicFramePr/>
          </xdr:nvGraphicFramePr>
          <xdr:xfrm>
            <a:off x="0" y="0"/>
            <a:ext cx="0" cy="0"/>
          </xdr:xfrm>
          <a:graphic>
            <a:graphicData uri="http://schemas.microsoft.com/office/drawing/2010/slicer">
              <sle:slicer xmlns:sle="http://schemas.microsoft.com/office/drawing/2010/slicer" name="Visit_Year 3"/>
            </a:graphicData>
          </a:graphic>
        </xdr:graphicFrame>
      </mc:Choice>
      <mc:Fallback>
        <xdr:sp macro="" textlink="">
          <xdr:nvSpPr>
            <xdr:cNvPr id="0" name=""/>
            <xdr:cNvSpPr>
              <a:spLocks noTextEdit="1"/>
            </xdr:cNvSpPr>
          </xdr:nvSpPr>
          <xdr:spPr>
            <a:xfrm>
              <a:off x="7985007" y="1941313"/>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712798</xdr:colOff>
      <xdr:row>85</xdr:row>
      <xdr:rowOff>14582</xdr:rowOff>
    </xdr:from>
    <xdr:to>
      <xdr:col>11</xdr:col>
      <xdr:colOff>321450</xdr:colOff>
      <xdr:row>99</xdr:row>
      <xdr:rowOff>93487</xdr:rowOff>
    </xdr:to>
    <mc:AlternateContent xmlns:mc="http://schemas.openxmlformats.org/markup-compatibility/2006">
      <mc:Choice xmlns:a14="http://schemas.microsoft.com/office/drawing/2010/main" Requires="a14">
        <xdr:graphicFrame macro="">
          <xdr:nvGraphicFramePr>
            <xdr:cNvPr id="17" name="Department 4">
              <a:extLst>
                <a:ext uri="{FF2B5EF4-FFF2-40B4-BE49-F238E27FC236}">
                  <a16:creationId xmlns:a16="http://schemas.microsoft.com/office/drawing/2014/main" id="{F7C2A34E-8A8B-97F4-0CFB-D5C2E6E8C75D}"/>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9442872" y="16016582"/>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477896</xdr:colOff>
      <xdr:row>85</xdr:row>
      <xdr:rowOff>5456</xdr:rowOff>
    </xdr:from>
    <xdr:to>
      <xdr:col>14</xdr:col>
      <xdr:colOff>227659</xdr:colOff>
      <xdr:row>99</xdr:row>
      <xdr:rowOff>84361</xdr:rowOff>
    </xdr:to>
    <mc:AlternateContent xmlns:mc="http://schemas.openxmlformats.org/markup-compatibility/2006">
      <mc:Choice xmlns:a14="http://schemas.microsoft.com/office/drawing/2010/main" Requires="a14">
        <xdr:graphicFrame macro="">
          <xdr:nvGraphicFramePr>
            <xdr:cNvPr id="18" name="Visit_Year 4">
              <a:extLst>
                <a:ext uri="{FF2B5EF4-FFF2-40B4-BE49-F238E27FC236}">
                  <a16:creationId xmlns:a16="http://schemas.microsoft.com/office/drawing/2014/main" id="{AFC39D11-E906-DD76-F292-0F7781083751}"/>
                </a:ext>
              </a:extLst>
            </xdr:cNvPr>
            <xdr:cNvGraphicFramePr/>
          </xdr:nvGraphicFramePr>
          <xdr:xfrm>
            <a:off x="0" y="0"/>
            <a:ext cx="0" cy="0"/>
          </xdr:xfrm>
          <a:graphic>
            <a:graphicData uri="http://schemas.microsoft.com/office/drawing/2010/slicer">
              <sle:slicer xmlns:sle="http://schemas.microsoft.com/office/drawing/2010/slicer" name="Visit_Year 4"/>
            </a:graphicData>
          </a:graphic>
        </xdr:graphicFrame>
      </mc:Choice>
      <mc:Fallback>
        <xdr:sp macro="" textlink="">
          <xdr:nvSpPr>
            <xdr:cNvPr id="0" name=""/>
            <xdr:cNvSpPr>
              <a:spLocks noTextEdit="1"/>
            </xdr:cNvSpPr>
          </xdr:nvSpPr>
          <xdr:spPr>
            <a:xfrm>
              <a:off x="11428118" y="16007456"/>
              <a:ext cx="1828800" cy="2581275"/>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18</xdr:col>
      <xdr:colOff>78740</xdr:colOff>
      <xdr:row>41</xdr:row>
      <xdr:rowOff>167640</xdr:rowOff>
    </xdr:from>
    <xdr:to>
      <xdr:col>30</xdr:col>
      <xdr:colOff>332740</xdr:colOff>
      <xdr:row>64</xdr:row>
      <xdr:rowOff>177862</xdr:rowOff>
    </xdr:to>
    <xdr:sp macro="" textlink="">
      <xdr:nvSpPr>
        <xdr:cNvPr id="37" name="Rectangle: Rounded Corners 36">
          <a:extLst>
            <a:ext uri="{FF2B5EF4-FFF2-40B4-BE49-F238E27FC236}">
              <a16:creationId xmlns:a16="http://schemas.microsoft.com/office/drawing/2014/main" id="{F4C1737B-BCED-4409-8E9E-E2AF5A50E552}"/>
            </a:ext>
          </a:extLst>
        </xdr:cNvPr>
        <xdr:cNvSpPr/>
      </xdr:nvSpPr>
      <xdr:spPr>
        <a:xfrm>
          <a:off x="10960100" y="7879080"/>
          <a:ext cx="7569200" cy="4216462"/>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1"/>
            </a:solidFill>
          </a:endParaRPr>
        </a:p>
      </xdr:txBody>
    </xdr:sp>
    <xdr:clientData/>
  </xdr:twoCellAnchor>
  <xdr:twoCellAnchor>
    <xdr:from>
      <xdr:col>0</xdr:col>
      <xdr:colOff>241300</xdr:colOff>
      <xdr:row>41</xdr:row>
      <xdr:rowOff>165100</xdr:rowOff>
    </xdr:from>
    <xdr:to>
      <xdr:col>16</xdr:col>
      <xdr:colOff>533400</xdr:colOff>
      <xdr:row>64</xdr:row>
      <xdr:rowOff>175322</xdr:rowOff>
    </xdr:to>
    <xdr:sp macro="" textlink="">
      <xdr:nvSpPr>
        <xdr:cNvPr id="33" name="Rectangle: Rounded Corners 32">
          <a:extLst>
            <a:ext uri="{FF2B5EF4-FFF2-40B4-BE49-F238E27FC236}">
              <a16:creationId xmlns:a16="http://schemas.microsoft.com/office/drawing/2014/main" id="{D4757B7F-3B2F-4FFB-B1C4-C5B00E87BEAD}"/>
            </a:ext>
          </a:extLst>
        </xdr:cNvPr>
        <xdr:cNvSpPr/>
      </xdr:nvSpPr>
      <xdr:spPr>
        <a:xfrm>
          <a:off x="241300" y="7876540"/>
          <a:ext cx="9954260" cy="4216462"/>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1"/>
            </a:solidFill>
          </a:endParaRPr>
        </a:p>
      </xdr:txBody>
    </xdr:sp>
    <xdr:clientData/>
  </xdr:twoCellAnchor>
  <xdr:twoCellAnchor>
    <xdr:from>
      <xdr:col>12</xdr:col>
      <xdr:colOff>584200</xdr:colOff>
      <xdr:row>16</xdr:row>
      <xdr:rowOff>120650</xdr:rowOff>
    </xdr:from>
    <xdr:to>
      <xdr:col>25</xdr:col>
      <xdr:colOff>190500</xdr:colOff>
      <xdr:row>40</xdr:row>
      <xdr:rowOff>76200</xdr:rowOff>
    </xdr:to>
    <xdr:sp macro="" textlink="">
      <xdr:nvSpPr>
        <xdr:cNvPr id="31" name="Rectangle: Rounded Corners 30">
          <a:extLst>
            <a:ext uri="{FF2B5EF4-FFF2-40B4-BE49-F238E27FC236}">
              <a16:creationId xmlns:a16="http://schemas.microsoft.com/office/drawing/2014/main" id="{84D24FE3-3000-4EE1-B2CA-C817963FCCB4}"/>
            </a:ext>
          </a:extLst>
        </xdr:cNvPr>
        <xdr:cNvSpPr/>
      </xdr:nvSpPr>
      <xdr:spPr>
        <a:xfrm>
          <a:off x="7804150" y="3359150"/>
          <a:ext cx="7531100" cy="4527550"/>
        </a:xfrm>
        <a:prstGeom prst="roundRect">
          <a:avLst>
            <a:gd name="adj" fmla="val 9664"/>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1"/>
            </a:solidFill>
          </a:endParaRPr>
        </a:p>
      </xdr:txBody>
    </xdr:sp>
    <xdr:clientData/>
  </xdr:twoCellAnchor>
  <xdr:twoCellAnchor>
    <xdr:from>
      <xdr:col>25</xdr:col>
      <xdr:colOff>533399</xdr:colOff>
      <xdr:row>20</xdr:row>
      <xdr:rowOff>152400</xdr:rowOff>
    </xdr:from>
    <xdr:to>
      <xdr:col>35</xdr:col>
      <xdr:colOff>292100</xdr:colOff>
      <xdr:row>38</xdr:row>
      <xdr:rowOff>165100</xdr:rowOff>
    </xdr:to>
    <xdr:sp macro="" textlink="">
      <xdr:nvSpPr>
        <xdr:cNvPr id="26" name="Rectangle: Rounded Corners 25">
          <a:extLst>
            <a:ext uri="{FF2B5EF4-FFF2-40B4-BE49-F238E27FC236}">
              <a16:creationId xmlns:a16="http://schemas.microsoft.com/office/drawing/2014/main" id="{9FC052ED-9DE6-4CD9-A50D-A5B87BA1F071}"/>
            </a:ext>
          </a:extLst>
        </xdr:cNvPr>
        <xdr:cNvSpPr/>
      </xdr:nvSpPr>
      <xdr:spPr>
        <a:xfrm>
          <a:off x="15678149" y="4152900"/>
          <a:ext cx="5854701" cy="3441700"/>
        </a:xfrm>
        <a:prstGeom prst="roundRect">
          <a:avLst>
            <a:gd name="adj" fmla="val 10811"/>
          </a:avLst>
        </a:prstGeom>
        <a:solidFill>
          <a:schemeClr val="bg2">
            <a:lumMod val="50000"/>
          </a:schemeClr>
        </a:solidFill>
        <a:ln>
          <a:noFill/>
        </a:ln>
        <a:effectLst>
          <a:outerShdw blurRad="50800" dist="38100" dir="2700000" sx="104000" sy="104000" algn="tl" rotWithShape="0">
            <a:prstClr val="black">
              <a:alpha val="21000"/>
            </a:prstClr>
          </a:outerShdw>
        </a:effectLst>
        <a:scene3d>
          <a:camera prst="orthographicFront">
            <a:rot lat="0" lon="0" rev="0"/>
          </a:camera>
          <a:lightRig rig="glow" dir="t">
            <a:rot lat="0" lon="0" rev="4800000"/>
          </a:lightRig>
        </a:scene3d>
        <a:sp3d prstMaterial="matte">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US" sz="2000" b="1">
              <a:solidFill>
                <a:schemeClr val="bg1"/>
              </a:solidFill>
            </a:rPr>
            <a:t>Department</a:t>
          </a:r>
          <a:r>
            <a:rPr lang="en-US" sz="2000" b="1" baseline="0">
              <a:solidFill>
                <a:schemeClr val="bg1"/>
              </a:solidFill>
            </a:rPr>
            <a:t> - Year Selection</a:t>
          </a:r>
          <a:endParaRPr lang="en-US" sz="2000" b="1">
            <a:solidFill>
              <a:schemeClr val="bg1"/>
            </a:solidFill>
          </a:endParaRPr>
        </a:p>
      </xdr:txBody>
    </xdr:sp>
    <xdr:clientData/>
  </xdr:twoCellAnchor>
  <xdr:twoCellAnchor>
    <xdr:from>
      <xdr:col>2</xdr:col>
      <xdr:colOff>311018</xdr:colOff>
      <xdr:row>6</xdr:row>
      <xdr:rowOff>159333</xdr:rowOff>
    </xdr:from>
    <xdr:to>
      <xdr:col>6</xdr:col>
      <xdr:colOff>355599</xdr:colOff>
      <xdr:row>15</xdr:row>
      <xdr:rowOff>0</xdr:rowOff>
    </xdr:to>
    <xdr:sp macro="" textlink="">
      <xdr:nvSpPr>
        <xdr:cNvPr id="4" name="Rectangle: Rounded Corners 3">
          <a:extLst>
            <a:ext uri="{FF2B5EF4-FFF2-40B4-BE49-F238E27FC236}">
              <a16:creationId xmlns:a16="http://schemas.microsoft.com/office/drawing/2014/main" id="{74713D18-A0E5-4D7B-8527-44338651996A}"/>
            </a:ext>
          </a:extLst>
        </xdr:cNvPr>
        <xdr:cNvSpPr/>
      </xdr:nvSpPr>
      <xdr:spPr>
        <a:xfrm>
          <a:off x="1428618" y="1429333"/>
          <a:ext cx="2482981" cy="1440867"/>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Total Patients</a:t>
          </a:r>
        </a:p>
        <a:p>
          <a:pPr algn="ctr"/>
          <a:r>
            <a:rPr lang="en-US" sz="3600" b="1">
              <a:solidFill>
                <a:schemeClr val="tx2">
                  <a:lumMod val="50000"/>
                  <a:lumOff val="50000"/>
                </a:schemeClr>
              </a:solidFill>
            </a:rPr>
            <a:t>100</a:t>
          </a:r>
          <a:endParaRPr lang="el-GR" sz="2400" b="1">
            <a:solidFill>
              <a:schemeClr val="tx2">
                <a:lumMod val="50000"/>
                <a:lumOff val="50000"/>
              </a:schemeClr>
            </a:solidFill>
          </a:endParaRPr>
        </a:p>
      </xdr:txBody>
    </xdr:sp>
    <xdr:clientData/>
  </xdr:twoCellAnchor>
  <xdr:twoCellAnchor>
    <xdr:from>
      <xdr:col>6</xdr:col>
      <xdr:colOff>596591</xdr:colOff>
      <xdr:row>6</xdr:row>
      <xdr:rowOff>158905</xdr:rowOff>
    </xdr:from>
    <xdr:to>
      <xdr:col>11</xdr:col>
      <xdr:colOff>190500</xdr:colOff>
      <xdr:row>14</xdr:row>
      <xdr:rowOff>139700</xdr:rowOff>
    </xdr:to>
    <xdr:sp macro="" textlink="">
      <xdr:nvSpPr>
        <xdr:cNvPr id="6" name="Rectangle: Rounded Corners 5">
          <a:extLst>
            <a:ext uri="{FF2B5EF4-FFF2-40B4-BE49-F238E27FC236}">
              <a16:creationId xmlns:a16="http://schemas.microsoft.com/office/drawing/2014/main" id="{807E7542-4DF5-4A6A-9F6D-E2DA408BB756}"/>
            </a:ext>
          </a:extLst>
        </xdr:cNvPr>
        <xdr:cNvSpPr/>
      </xdr:nvSpPr>
      <xdr:spPr>
        <a:xfrm>
          <a:off x="4152591" y="1428905"/>
          <a:ext cx="2629209" cy="1403195"/>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Total Visits</a:t>
          </a:r>
        </a:p>
        <a:p>
          <a:pPr algn="ctr"/>
          <a:r>
            <a:rPr lang="en-US" sz="3600" b="1">
              <a:solidFill>
                <a:schemeClr val="tx2">
                  <a:lumMod val="50000"/>
                  <a:lumOff val="50000"/>
                </a:schemeClr>
              </a:solidFill>
            </a:rPr>
            <a:t>100</a:t>
          </a:r>
          <a:endParaRPr lang="el-GR" sz="2400" b="1">
            <a:solidFill>
              <a:schemeClr val="tx2">
                <a:lumMod val="50000"/>
                <a:lumOff val="50000"/>
              </a:schemeClr>
            </a:solidFill>
          </a:endParaRPr>
        </a:p>
      </xdr:txBody>
    </xdr:sp>
    <xdr:clientData/>
  </xdr:twoCellAnchor>
  <xdr:twoCellAnchor>
    <xdr:from>
      <xdr:col>11</xdr:col>
      <xdr:colOff>469591</xdr:colOff>
      <xdr:row>6</xdr:row>
      <xdr:rowOff>139700</xdr:rowOff>
    </xdr:from>
    <xdr:to>
      <xdr:col>17</xdr:col>
      <xdr:colOff>12701</xdr:colOff>
      <xdr:row>14</xdr:row>
      <xdr:rowOff>139700</xdr:rowOff>
    </xdr:to>
    <xdr:sp macro="" textlink="">
      <xdr:nvSpPr>
        <xdr:cNvPr id="8" name="Rectangle: Rounded Corners 7">
          <a:extLst>
            <a:ext uri="{FF2B5EF4-FFF2-40B4-BE49-F238E27FC236}">
              <a16:creationId xmlns:a16="http://schemas.microsoft.com/office/drawing/2014/main" id="{C16683F9-6028-40D0-B530-67E4D3D75807}"/>
            </a:ext>
          </a:extLst>
        </xdr:cNvPr>
        <xdr:cNvSpPr/>
      </xdr:nvSpPr>
      <xdr:spPr>
        <a:xfrm>
          <a:off x="7060891" y="1409700"/>
          <a:ext cx="3200710" cy="1422400"/>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 Improved Patients</a:t>
          </a:r>
          <a:r>
            <a:rPr lang="en-US" sz="2400" b="1" baseline="0">
              <a:solidFill>
                <a:schemeClr val="tx1"/>
              </a:solidFill>
            </a:rPr>
            <a:t> </a:t>
          </a:r>
          <a:r>
            <a:rPr lang="en-US" sz="3600" b="1" baseline="0">
              <a:solidFill>
                <a:schemeClr val="tx2">
                  <a:lumMod val="50000"/>
                  <a:lumOff val="50000"/>
                </a:schemeClr>
              </a:solidFill>
            </a:rPr>
            <a:t>57%</a:t>
          </a:r>
          <a:endParaRPr lang="en-US" sz="2400" b="1">
            <a:solidFill>
              <a:schemeClr val="tx2">
                <a:lumMod val="50000"/>
                <a:lumOff val="50000"/>
              </a:schemeClr>
            </a:solidFill>
          </a:endParaRPr>
        </a:p>
      </xdr:txBody>
    </xdr:sp>
    <xdr:clientData/>
  </xdr:twoCellAnchor>
  <xdr:twoCellAnchor>
    <xdr:from>
      <xdr:col>0</xdr:col>
      <xdr:colOff>229221</xdr:colOff>
      <xdr:row>16</xdr:row>
      <xdr:rowOff>65978</xdr:rowOff>
    </xdr:from>
    <xdr:to>
      <xdr:col>12</xdr:col>
      <xdr:colOff>285750</xdr:colOff>
      <xdr:row>40</xdr:row>
      <xdr:rowOff>0</xdr:rowOff>
    </xdr:to>
    <xdr:sp macro="" textlink="">
      <xdr:nvSpPr>
        <xdr:cNvPr id="9" name="Rectangle: Rounded Corners 8">
          <a:extLst>
            <a:ext uri="{FF2B5EF4-FFF2-40B4-BE49-F238E27FC236}">
              <a16:creationId xmlns:a16="http://schemas.microsoft.com/office/drawing/2014/main" id="{F1138365-0E23-4270-A09E-AAD0F8869650}"/>
            </a:ext>
          </a:extLst>
        </xdr:cNvPr>
        <xdr:cNvSpPr/>
      </xdr:nvSpPr>
      <xdr:spPr>
        <a:xfrm>
          <a:off x="229221" y="3304478"/>
          <a:ext cx="7276479" cy="4506022"/>
        </a:xfrm>
        <a:prstGeom prst="roundRect">
          <a:avLst>
            <a:gd name="adj" fmla="val 11335"/>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1"/>
            </a:solidFill>
          </a:endParaRPr>
        </a:p>
      </xdr:txBody>
    </xdr:sp>
    <xdr:clientData/>
  </xdr:twoCellAnchor>
  <xdr:twoCellAnchor>
    <xdr:from>
      <xdr:col>25</xdr:col>
      <xdr:colOff>323850</xdr:colOff>
      <xdr:row>1</xdr:row>
      <xdr:rowOff>127001</xdr:rowOff>
    </xdr:from>
    <xdr:to>
      <xdr:col>35</xdr:col>
      <xdr:colOff>304800</xdr:colOff>
      <xdr:row>19</xdr:row>
      <xdr:rowOff>88901</xdr:rowOff>
    </xdr:to>
    <xdr:sp macro="" textlink="">
      <xdr:nvSpPr>
        <xdr:cNvPr id="11" name="Rectangle: Rounded Corners 10">
          <a:extLst>
            <a:ext uri="{FF2B5EF4-FFF2-40B4-BE49-F238E27FC236}">
              <a16:creationId xmlns:a16="http://schemas.microsoft.com/office/drawing/2014/main" id="{5D6F16E4-516C-4E61-92EB-CFFCEA0B2645}"/>
            </a:ext>
          </a:extLst>
        </xdr:cNvPr>
        <xdr:cNvSpPr/>
      </xdr:nvSpPr>
      <xdr:spPr>
        <a:xfrm>
          <a:off x="15468600" y="317501"/>
          <a:ext cx="6076950" cy="3581400"/>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tx1"/>
            </a:solidFill>
          </a:endParaRPr>
        </a:p>
      </xdr:txBody>
    </xdr:sp>
    <xdr:clientData/>
  </xdr:twoCellAnchor>
  <xdr:twoCellAnchor>
    <xdr:from>
      <xdr:col>0</xdr:col>
      <xdr:colOff>381001</xdr:colOff>
      <xdr:row>43</xdr:row>
      <xdr:rowOff>8364</xdr:rowOff>
    </xdr:from>
    <xdr:to>
      <xdr:col>16</xdr:col>
      <xdr:colOff>228601</xdr:colOff>
      <xdr:row>63</xdr:row>
      <xdr:rowOff>88900</xdr:rowOff>
    </xdr:to>
    <xdr:graphicFrame macro="">
      <xdr:nvGraphicFramePr>
        <xdr:cNvPr id="12" name="Chart 11">
          <a:extLst>
            <a:ext uri="{FF2B5EF4-FFF2-40B4-BE49-F238E27FC236}">
              <a16:creationId xmlns:a16="http://schemas.microsoft.com/office/drawing/2014/main" id="{40F2E292-B3F7-450C-BA72-273559C9B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31</xdr:col>
      <xdr:colOff>205741</xdr:colOff>
      <xdr:row>24</xdr:row>
      <xdr:rowOff>51606</xdr:rowOff>
    </xdr:from>
    <xdr:to>
      <xdr:col>35</xdr:col>
      <xdr:colOff>2541</xdr:colOff>
      <xdr:row>34</xdr:row>
      <xdr:rowOff>96520</xdr:rowOff>
    </xdr:to>
    <mc:AlternateContent xmlns:mc="http://schemas.openxmlformats.org/markup-compatibility/2006">
      <mc:Choice xmlns:sle15="http://schemas.microsoft.com/office/drawing/2012/slicer" Requires="sle15">
        <xdr:graphicFrame macro="">
          <xdr:nvGraphicFramePr>
            <xdr:cNvPr id="16" name="Visit_Year ">
              <a:extLst>
                <a:ext uri="{FF2B5EF4-FFF2-40B4-BE49-F238E27FC236}">
                  <a16:creationId xmlns:a16="http://schemas.microsoft.com/office/drawing/2014/main" id="{05E5E97A-08B3-4EA9-BF20-A93EC30BD5F9}"/>
                </a:ext>
              </a:extLst>
            </xdr:cNvPr>
            <xdr:cNvGraphicFramePr/>
          </xdr:nvGraphicFramePr>
          <xdr:xfrm>
            <a:off x="0" y="0"/>
            <a:ext cx="0" cy="0"/>
          </xdr:xfrm>
          <a:graphic>
            <a:graphicData uri="http://schemas.microsoft.com/office/drawing/2010/slicer">
              <sle:slicer xmlns:sle="http://schemas.microsoft.com/office/drawing/2010/slicer" name="Visit_Year "/>
            </a:graphicData>
          </a:graphic>
        </xdr:graphicFrame>
      </mc:Choice>
      <mc:Fallback>
        <xdr:sp macro="" textlink="">
          <xdr:nvSpPr>
            <xdr:cNvPr id="0" name=""/>
            <xdr:cNvSpPr>
              <a:spLocks noTextEdit="1"/>
            </xdr:cNvSpPr>
          </xdr:nvSpPr>
          <xdr:spPr>
            <a:xfrm>
              <a:off x="18774478" y="4583501"/>
              <a:ext cx="2203116" cy="1849651"/>
            </a:xfrm>
            <a:prstGeom prst="rect">
              <a:avLst/>
            </a:prstGeom>
            <a:solidFill>
              <a:prstClr val="white"/>
            </a:solidFill>
            <a:ln w="1">
              <a:solidFill>
                <a:prstClr val="green"/>
              </a:solidFill>
            </a:ln>
          </xdr:spPr>
          <xdr:txBody>
            <a:bodyPr vertOverflow="clip" horzOverflow="clip"/>
            <a:lstStyle/>
            <a:p>
              <a:r>
                <a:rPr lang="el-G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25</xdr:col>
      <xdr:colOff>514350</xdr:colOff>
      <xdr:row>1</xdr:row>
      <xdr:rowOff>184150</xdr:rowOff>
    </xdr:from>
    <xdr:to>
      <xdr:col>35</xdr:col>
      <xdr:colOff>57150</xdr:colOff>
      <xdr:row>18</xdr:row>
      <xdr:rowOff>158750</xdr:rowOff>
    </xdr:to>
    <xdr:graphicFrame macro="">
      <xdr:nvGraphicFramePr>
        <xdr:cNvPr id="10" name="Chart 9">
          <a:extLst>
            <a:ext uri="{FF2B5EF4-FFF2-40B4-BE49-F238E27FC236}">
              <a16:creationId xmlns:a16="http://schemas.microsoft.com/office/drawing/2014/main" id="{564C4E2D-54D9-4AE1-AB2C-AE0318C8B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203200</xdr:colOff>
      <xdr:row>1</xdr:row>
      <xdr:rowOff>165100</xdr:rowOff>
    </xdr:from>
    <xdr:to>
      <xdr:col>20</xdr:col>
      <xdr:colOff>520700</xdr:colOff>
      <xdr:row>6</xdr:row>
      <xdr:rowOff>0</xdr:rowOff>
    </xdr:to>
    <xdr:sp macro="" textlink="">
      <xdr:nvSpPr>
        <xdr:cNvPr id="3" name="Rectangle 2">
          <a:extLst>
            <a:ext uri="{FF2B5EF4-FFF2-40B4-BE49-F238E27FC236}">
              <a16:creationId xmlns:a16="http://schemas.microsoft.com/office/drawing/2014/main" id="{E3BEE42C-0AB5-A710-5B01-ACC3993AB5C8}"/>
            </a:ext>
          </a:extLst>
        </xdr:cNvPr>
        <xdr:cNvSpPr/>
      </xdr:nvSpPr>
      <xdr:spPr>
        <a:xfrm>
          <a:off x="3149600" y="342900"/>
          <a:ext cx="9448800" cy="927100"/>
        </a:xfrm>
        <a:prstGeom prst="rect">
          <a:avLst/>
        </a:prstGeom>
        <a:solidFill>
          <a:srgbClr val="2C5E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3600" b="1" i="0" u="none" strike="noStrike" kern="0" cap="none" spc="0" normalizeH="0" baseline="0" noProof="0">
              <a:ln>
                <a:noFill/>
              </a:ln>
              <a:solidFill>
                <a:schemeClr val="bg1">
                  <a:lumMod val="95000"/>
                </a:schemeClr>
              </a:solidFill>
              <a:effectLst/>
              <a:uLnTx/>
              <a:uFillTx/>
              <a:latin typeface="+mn-lt"/>
              <a:ea typeface="+mn-ea"/>
              <a:cs typeface="+mn-cs"/>
            </a:rPr>
            <a:t>PATIENTS RECORDS DASHBOARD</a:t>
          </a:r>
          <a:endParaRPr kumimoji="0" lang="el-GR" sz="3600" b="1" i="0" u="none" strike="noStrike" kern="0" cap="none" spc="0" normalizeH="0" baseline="0" noProof="0">
            <a:ln>
              <a:noFill/>
            </a:ln>
            <a:solidFill>
              <a:schemeClr val="bg1">
                <a:lumMod val="95000"/>
              </a:schemeClr>
            </a:solidFill>
            <a:effectLst/>
            <a:uLnTx/>
            <a:uFillTx/>
            <a:latin typeface="+mn-lt"/>
            <a:ea typeface="+mn-ea"/>
            <a:cs typeface="+mn-cs"/>
          </a:endParaRPr>
        </a:p>
        <a:p>
          <a:pPr algn="l"/>
          <a:r>
            <a:rPr lang="en-US" sz="2000">
              <a:solidFill>
                <a:srgbClr val="FFFFCD"/>
              </a:solidFill>
            </a:rPr>
            <a:t>Healthcare Table</a:t>
          </a:r>
          <a:r>
            <a:rPr lang="en-US" sz="2000" baseline="0">
              <a:solidFill>
                <a:srgbClr val="FFFFCD"/>
              </a:solidFill>
            </a:rPr>
            <a:t> Insights</a:t>
          </a:r>
          <a:endParaRPr lang="el-GR" sz="2000">
            <a:solidFill>
              <a:srgbClr val="FFFFCD"/>
            </a:solidFill>
          </a:endParaRPr>
        </a:p>
      </xdr:txBody>
    </xdr:sp>
    <xdr:clientData/>
  </xdr:twoCellAnchor>
  <xdr:twoCellAnchor>
    <xdr:from>
      <xdr:col>5</xdr:col>
      <xdr:colOff>88900</xdr:colOff>
      <xdr:row>2</xdr:row>
      <xdr:rowOff>101600</xdr:rowOff>
    </xdr:from>
    <xdr:to>
      <xdr:col>5</xdr:col>
      <xdr:colOff>165100</xdr:colOff>
      <xdr:row>5</xdr:row>
      <xdr:rowOff>139700</xdr:rowOff>
    </xdr:to>
    <xdr:sp macro="" textlink="">
      <xdr:nvSpPr>
        <xdr:cNvPr id="5" name="Rectangle 4">
          <a:extLst>
            <a:ext uri="{FF2B5EF4-FFF2-40B4-BE49-F238E27FC236}">
              <a16:creationId xmlns:a16="http://schemas.microsoft.com/office/drawing/2014/main" id="{128C9EAB-5D48-E291-EBEA-0C68AA16A900}"/>
            </a:ext>
          </a:extLst>
        </xdr:cNvPr>
        <xdr:cNvSpPr/>
      </xdr:nvSpPr>
      <xdr:spPr>
        <a:xfrm>
          <a:off x="3035300" y="457200"/>
          <a:ext cx="76200" cy="774700"/>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l-GR" sz="1100"/>
        </a:p>
      </xdr:txBody>
    </xdr:sp>
    <xdr:clientData/>
  </xdr:twoCellAnchor>
  <xdr:twoCellAnchor editAs="oneCell">
    <xdr:from>
      <xdr:col>2</xdr:col>
      <xdr:colOff>203200</xdr:colOff>
      <xdr:row>0</xdr:row>
      <xdr:rowOff>101600</xdr:rowOff>
    </xdr:from>
    <xdr:to>
      <xdr:col>5</xdr:col>
      <xdr:colOff>355791</xdr:colOff>
      <xdr:row>8</xdr:row>
      <xdr:rowOff>63500</xdr:rowOff>
    </xdr:to>
    <xdr:pic>
      <xdr:nvPicPr>
        <xdr:cNvPr id="22" name="Picture 21">
          <a:extLst>
            <a:ext uri="{FF2B5EF4-FFF2-40B4-BE49-F238E27FC236}">
              <a16:creationId xmlns:a16="http://schemas.microsoft.com/office/drawing/2014/main" id="{A956FCF2-6D37-4F98-B264-419D5BD5EF7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831" b="12048"/>
        <a:stretch>
          <a:fillRect/>
        </a:stretch>
      </xdr:blipFill>
      <xdr:spPr>
        <a:xfrm>
          <a:off x="1346200" y="101600"/>
          <a:ext cx="1981391" cy="1676400"/>
        </a:xfrm>
        <a:prstGeom prst="rect">
          <a:avLst/>
        </a:prstGeom>
      </xdr:spPr>
    </xdr:pic>
    <xdr:clientData/>
  </xdr:twoCellAnchor>
  <xdr:twoCellAnchor>
    <xdr:from>
      <xdr:col>17</xdr:col>
      <xdr:colOff>304800</xdr:colOff>
      <xdr:row>6</xdr:row>
      <xdr:rowOff>165100</xdr:rowOff>
    </xdr:from>
    <xdr:to>
      <xdr:col>21</xdr:col>
      <xdr:colOff>495609</xdr:colOff>
      <xdr:row>14</xdr:row>
      <xdr:rowOff>145895</xdr:rowOff>
    </xdr:to>
    <xdr:sp macro="" textlink="">
      <xdr:nvSpPr>
        <xdr:cNvPr id="24" name="Rectangle: Rounded Corners 23">
          <a:extLst>
            <a:ext uri="{FF2B5EF4-FFF2-40B4-BE49-F238E27FC236}">
              <a16:creationId xmlns:a16="http://schemas.microsoft.com/office/drawing/2014/main" id="{45E71E7D-15C2-4CA1-9930-42181FEB7E06}"/>
            </a:ext>
          </a:extLst>
        </xdr:cNvPr>
        <xdr:cNvSpPr/>
      </xdr:nvSpPr>
      <xdr:spPr>
        <a:xfrm>
          <a:off x="10553700" y="1435100"/>
          <a:ext cx="2629209" cy="1403195"/>
        </a:xfrm>
        <a:prstGeom prst="roundRect">
          <a:avLst>
            <a:gd name="adj" fmla="val 13872"/>
          </a:avLst>
        </a:prstGeom>
        <a:solidFill>
          <a:schemeClr val="bg1"/>
        </a:solidFill>
        <a:ln>
          <a:noFill/>
        </a:ln>
        <a:effectLst>
          <a:outerShdw blurRad="190500" dist="177800" dir="2700000" sx="105000" sy="105000" algn="ctr">
            <a:srgbClr val="000000">
              <a:alpha val="24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Year Range</a:t>
          </a:r>
        </a:p>
        <a:p>
          <a:pPr algn="ctr"/>
          <a:r>
            <a:rPr lang="en-US" sz="3600" b="1">
              <a:solidFill>
                <a:schemeClr val="tx2">
                  <a:lumMod val="50000"/>
                  <a:lumOff val="50000"/>
                </a:schemeClr>
              </a:solidFill>
            </a:rPr>
            <a:t>2024-2025</a:t>
          </a:r>
          <a:endParaRPr lang="el-GR" sz="3600" b="1">
            <a:solidFill>
              <a:schemeClr val="tx2">
                <a:lumMod val="50000"/>
                <a:lumOff val="50000"/>
              </a:schemeClr>
            </a:solidFill>
          </a:endParaRPr>
        </a:p>
      </xdr:txBody>
    </xdr:sp>
    <xdr:clientData/>
  </xdr:twoCellAnchor>
  <xdr:twoCellAnchor>
    <xdr:from>
      <xdr:col>13</xdr:col>
      <xdr:colOff>209550</xdr:colOff>
      <xdr:row>17</xdr:row>
      <xdr:rowOff>38100</xdr:rowOff>
    </xdr:from>
    <xdr:to>
      <xdr:col>25</xdr:col>
      <xdr:colOff>44450</xdr:colOff>
      <xdr:row>39</xdr:row>
      <xdr:rowOff>38100</xdr:rowOff>
    </xdr:to>
    <xdr:graphicFrame macro="">
      <xdr:nvGraphicFramePr>
        <xdr:cNvPr id="29" name="Chart 28">
          <a:extLst>
            <a:ext uri="{FF2B5EF4-FFF2-40B4-BE49-F238E27FC236}">
              <a16:creationId xmlns:a16="http://schemas.microsoft.com/office/drawing/2014/main" id="{87C20D4E-CE86-4AA5-A3C7-80BD5863B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16</xdr:row>
      <xdr:rowOff>171450</xdr:rowOff>
    </xdr:from>
    <xdr:to>
      <xdr:col>24</xdr:col>
      <xdr:colOff>285750</xdr:colOff>
      <xdr:row>19</xdr:row>
      <xdr:rowOff>38100</xdr:rowOff>
    </xdr:to>
    <xdr:sp macro="" textlink="">
      <xdr:nvSpPr>
        <xdr:cNvPr id="32" name="Rectangle 31">
          <a:extLst>
            <a:ext uri="{FF2B5EF4-FFF2-40B4-BE49-F238E27FC236}">
              <a16:creationId xmlns:a16="http://schemas.microsoft.com/office/drawing/2014/main" id="{76706BF5-3F56-6811-AADA-10281479B2C0}"/>
            </a:ext>
          </a:extLst>
        </xdr:cNvPr>
        <xdr:cNvSpPr/>
      </xdr:nvSpPr>
      <xdr:spPr>
        <a:xfrm>
          <a:off x="8058150" y="3409950"/>
          <a:ext cx="6762750" cy="4381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Outcome Distribution per Diagnosis</a:t>
          </a:r>
          <a:endParaRPr lang="el-GR" sz="2400" b="1">
            <a:solidFill>
              <a:schemeClr val="tx1"/>
            </a:solidFill>
          </a:endParaRPr>
        </a:p>
      </xdr:txBody>
    </xdr:sp>
    <xdr:clientData/>
  </xdr:twoCellAnchor>
  <xdr:twoCellAnchor>
    <xdr:from>
      <xdr:col>18</xdr:col>
      <xdr:colOff>502920</xdr:colOff>
      <xdr:row>43</xdr:row>
      <xdr:rowOff>30480</xdr:rowOff>
    </xdr:from>
    <xdr:to>
      <xdr:col>30</xdr:col>
      <xdr:colOff>45720</xdr:colOff>
      <xdr:row>63</xdr:row>
      <xdr:rowOff>12700</xdr:rowOff>
    </xdr:to>
    <xdr:graphicFrame macro="">
      <xdr:nvGraphicFramePr>
        <xdr:cNvPr id="35" name="Chart 34">
          <a:extLst>
            <a:ext uri="{FF2B5EF4-FFF2-40B4-BE49-F238E27FC236}">
              <a16:creationId xmlns:a16="http://schemas.microsoft.com/office/drawing/2014/main" id="{7E6FBC29-3E6B-4455-9FAB-539077CB0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274320</xdr:colOff>
      <xdr:row>38</xdr:row>
      <xdr:rowOff>163405</xdr:rowOff>
    </xdr:from>
    <xdr:to>
      <xdr:col>37</xdr:col>
      <xdr:colOff>113877</xdr:colOff>
      <xdr:row>66</xdr:row>
      <xdr:rowOff>73386</xdr:rowOff>
    </xdr:to>
    <xdr:pic>
      <xdr:nvPicPr>
        <xdr:cNvPr id="39" name="Picture 38">
          <a:extLst>
            <a:ext uri="{FF2B5EF4-FFF2-40B4-BE49-F238E27FC236}">
              <a16:creationId xmlns:a16="http://schemas.microsoft.com/office/drawing/2014/main" id="{EA1E41B5-1C67-8CA5-1ED8-A9AA4CE809A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861280" y="7326205"/>
          <a:ext cx="4716357" cy="5030621"/>
        </a:xfrm>
        <a:prstGeom prst="rect">
          <a:avLst/>
        </a:prstGeom>
      </xdr:spPr>
    </xdr:pic>
    <xdr:clientData/>
  </xdr:twoCellAnchor>
  <xdr:twoCellAnchor editAs="oneCell">
    <xdr:from>
      <xdr:col>26</xdr:col>
      <xdr:colOff>171450</xdr:colOff>
      <xdr:row>24</xdr:row>
      <xdr:rowOff>59691</xdr:rowOff>
    </xdr:from>
    <xdr:to>
      <xdr:col>31</xdr:col>
      <xdr:colOff>64769</xdr:colOff>
      <xdr:row>37</xdr:row>
      <xdr:rowOff>64771</xdr:rowOff>
    </xdr:to>
    <mc:AlternateContent xmlns:mc="http://schemas.openxmlformats.org/markup-compatibility/2006">
      <mc:Choice xmlns:a14="http://schemas.microsoft.com/office/drawing/2010/main" Requires="a14">
        <xdr:graphicFrame macro="">
          <xdr:nvGraphicFramePr>
            <xdr:cNvPr id="41" name="Department 5">
              <a:extLst>
                <a:ext uri="{FF2B5EF4-FFF2-40B4-BE49-F238E27FC236}">
                  <a16:creationId xmlns:a16="http://schemas.microsoft.com/office/drawing/2014/main" id="{3F340D5A-C31D-4DD8-B140-F4EF838CF819}"/>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dr:sp macro="" textlink="">
          <xdr:nvSpPr>
            <xdr:cNvPr id="0" name=""/>
            <xdr:cNvSpPr>
              <a:spLocks noTextEdit="1"/>
            </xdr:cNvSpPr>
          </xdr:nvSpPr>
          <xdr:spPr>
            <a:xfrm>
              <a:off x="15732292" y="4591586"/>
              <a:ext cx="2901214" cy="2351238"/>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452034</xdr:colOff>
      <xdr:row>17</xdr:row>
      <xdr:rowOff>25830</xdr:rowOff>
    </xdr:from>
    <xdr:to>
      <xdr:col>12</xdr:col>
      <xdr:colOff>63930</xdr:colOff>
      <xdr:row>39</xdr:row>
      <xdr:rowOff>104356</xdr:rowOff>
    </xdr:to>
    <xdr:graphicFrame macro="">
      <xdr:nvGraphicFramePr>
        <xdr:cNvPr id="43" name="Chart 42">
          <a:extLst>
            <a:ext uri="{FF2B5EF4-FFF2-40B4-BE49-F238E27FC236}">
              <a16:creationId xmlns:a16="http://schemas.microsoft.com/office/drawing/2014/main" id="{093505C1-AC86-44C0-A874-D4509D5C6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0.01349</cdr:x>
      <cdr:y>0.01256</cdr:y>
    </cdr:from>
    <cdr:to>
      <cdr:x>0.92826</cdr:x>
      <cdr:y>0.17167</cdr:y>
    </cdr:to>
    <cdr:sp macro="" textlink="">
      <cdr:nvSpPr>
        <cdr:cNvPr id="3" name="Rectangle 2">
          <a:extLst xmlns:a="http://schemas.openxmlformats.org/drawingml/2006/main">
            <a:ext uri="{FF2B5EF4-FFF2-40B4-BE49-F238E27FC236}">
              <a16:creationId xmlns:a16="http://schemas.microsoft.com/office/drawing/2014/main" id="{76706BF5-3F56-6811-AADA-10281479B2C0}"/>
            </a:ext>
          </a:extLst>
        </cdr:cNvPr>
        <cdr:cNvSpPr/>
      </cdr:nvSpPr>
      <cdr:spPr>
        <a:xfrm xmlns:a="http://schemas.openxmlformats.org/drawingml/2006/main">
          <a:off x="92506" y="45720"/>
          <a:ext cx="6273535" cy="579120"/>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2400" b="1">
              <a:solidFill>
                <a:schemeClr val="tx1"/>
              </a:solidFill>
            </a:rPr>
            <a:t>Patients per Departement</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0.0699</cdr:y>
    </cdr:to>
    <cdr:sp macro="" textlink="">
      <cdr:nvSpPr>
        <cdr:cNvPr id="4" name="Rectangle 3">
          <a:extLst xmlns:a="http://schemas.openxmlformats.org/drawingml/2006/main">
            <a:ext uri="{FF2B5EF4-FFF2-40B4-BE49-F238E27FC236}">
              <a16:creationId xmlns:a16="http://schemas.microsoft.com/office/drawing/2014/main" id="{76706BF5-3F56-6811-AADA-10281479B2C0}"/>
            </a:ext>
          </a:extLst>
        </cdr:cNvPr>
        <cdr:cNvSpPr/>
      </cdr:nvSpPr>
      <cdr:spPr>
        <a:xfrm xmlns:a="http://schemas.openxmlformats.org/drawingml/2006/main">
          <a:off x="0" y="0"/>
          <a:ext cx="6713737" cy="273803"/>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2400" b="1">
              <a:solidFill>
                <a:schemeClr val="tx1"/>
              </a:solidFill>
            </a:rPr>
            <a:t>Diagnosis Frequency</a:t>
          </a:r>
          <a:endParaRPr lang="el-GR" sz="2400" b="1">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stanca Kovaci" refreshedDate="45965.65616377315" createdVersion="8" refreshedVersion="8" minRefreshableVersion="3" recordCount="100" xr:uid="{5992CC44-4866-4179-88F7-6F8543DD898B}">
  <cacheSource type="worksheet">
    <worksheetSource name="tbl_Healthcare"/>
  </cacheSource>
  <cacheFields count="9">
    <cacheField name="Patient_ID" numFmtId="0">
      <sharedItems count="1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haredItems>
    </cacheField>
    <cacheField name="Visit_Date" numFmtId="14">
      <sharedItems containsSemiMixedTypes="0" containsNonDate="0" containsDate="1" containsString="0" minDate="2024-01-01T00:00:00" maxDate="2025-01-28T00:00:00"/>
    </cacheField>
    <cacheField name="Diagnosis" numFmtId="0">
      <sharedItems count="10">
        <s v="Depression"/>
        <s v="Hypertension"/>
        <s v="Osteoarthritis"/>
        <s v="Hypothyroidism"/>
        <s v="Rheumatoid Arthritis"/>
        <s v="COPD"/>
        <s v="Coronary Artery Disease"/>
        <s v="Asthma"/>
        <s v="Diabetes Type 2"/>
        <s v="Chronic Kidney Disease"/>
      </sharedItems>
    </cacheField>
    <cacheField name="Treatment" numFmtId="0">
      <sharedItems/>
    </cacheField>
    <cacheField name="Outcome" numFmtId="0">
      <sharedItems count="3">
        <s v="Improved"/>
        <s v="Stable"/>
        <s v="Worsened"/>
      </sharedItems>
    </cacheField>
    <cacheField name="Age" numFmtId="0">
      <sharedItems containsSemiMixedTypes="0" containsString="0" containsNumber="1" containsInteger="1" minValue="20" maxValue="79"/>
    </cacheField>
    <cacheField name="Department" numFmtId="0">
      <sharedItems count="7">
        <s v="Psychiatry"/>
        <s v="Cardiology"/>
        <s v="Orthopedics"/>
        <s v="Endocrinology"/>
        <s v="Rheumatology"/>
        <s v="Pulmonology"/>
        <s v="Nephrology"/>
      </sharedItems>
    </cacheField>
    <cacheField name="Visit_Year" numFmtId="0">
      <sharedItems containsSemiMixedTypes="0" containsString="0" containsNumber="1" containsInteger="1" minValue="2024" maxValue="2025" count="2">
        <n v="2024"/>
        <n v="2025"/>
      </sharedItems>
    </cacheField>
    <cacheField name="Visit_Month" numFmtId="0">
      <sharedItems count="12">
        <s v="Mar"/>
        <s v="Jan"/>
        <s v="Oct"/>
        <s v="May"/>
        <s v="Nov"/>
        <s v="Sep"/>
        <s v="Aug"/>
        <s v="Feb"/>
        <s v="Dec"/>
        <s v="Apr"/>
        <s v="Jul"/>
        <s v="Jun"/>
      </sharedItems>
    </cacheField>
  </cacheFields>
  <extLst>
    <ext xmlns:x14="http://schemas.microsoft.com/office/spreadsheetml/2009/9/main" uri="{725AE2AE-9491-48be-B2B4-4EB974FC3084}">
      <x14:pivotCacheDefinition pivotCacheId="1378633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4-03-05T00:00:00"/>
    <x v="0"/>
    <s v="SSRIs"/>
    <x v="0"/>
    <n v="65"/>
    <x v="0"/>
    <x v="0"/>
    <x v="0"/>
  </r>
  <r>
    <x v="1"/>
    <d v="2024-01-01T00:00:00"/>
    <x v="0"/>
    <s v="Counseling"/>
    <x v="0"/>
    <n v="31"/>
    <x v="0"/>
    <x v="0"/>
    <x v="1"/>
  </r>
  <r>
    <x v="2"/>
    <d v="2024-03-26T00:00:00"/>
    <x v="1"/>
    <s v="Lifestyle Therapy"/>
    <x v="0"/>
    <n v="39"/>
    <x v="1"/>
    <x v="0"/>
    <x v="0"/>
  </r>
  <r>
    <x v="3"/>
    <d v="2024-10-03T00:00:00"/>
    <x v="0"/>
    <s v="SSRIs"/>
    <x v="0"/>
    <n v="76"/>
    <x v="0"/>
    <x v="0"/>
    <x v="2"/>
  </r>
  <r>
    <x v="4"/>
    <d v="2024-05-17T00:00:00"/>
    <x v="2"/>
    <s v="Joint Injections"/>
    <x v="1"/>
    <n v="71"/>
    <x v="2"/>
    <x v="0"/>
    <x v="3"/>
  </r>
  <r>
    <x v="5"/>
    <d v="2024-05-20T00:00:00"/>
    <x v="3"/>
    <s v="Dietary Counseling"/>
    <x v="0"/>
    <n v="64"/>
    <x v="3"/>
    <x v="0"/>
    <x v="3"/>
  </r>
  <r>
    <x v="6"/>
    <d v="2024-10-12T00:00:00"/>
    <x v="4"/>
    <s v="NSAIDs"/>
    <x v="0"/>
    <n v="48"/>
    <x v="4"/>
    <x v="0"/>
    <x v="2"/>
  </r>
  <r>
    <x v="7"/>
    <d v="2024-11-14T00:00:00"/>
    <x v="5"/>
    <s v="Pulmonary Rehabilitation"/>
    <x v="0"/>
    <n v="55"/>
    <x v="5"/>
    <x v="0"/>
    <x v="4"/>
  </r>
  <r>
    <x v="8"/>
    <d v="2024-09-08T00:00:00"/>
    <x v="0"/>
    <s v="Lifestyle Modification"/>
    <x v="0"/>
    <n v="38"/>
    <x v="0"/>
    <x v="0"/>
    <x v="5"/>
  </r>
  <r>
    <x v="9"/>
    <d v="2024-11-02T00:00:00"/>
    <x v="0"/>
    <s v="Counseling"/>
    <x v="0"/>
    <n v="23"/>
    <x v="0"/>
    <x v="0"/>
    <x v="4"/>
  </r>
  <r>
    <x v="10"/>
    <d v="2024-09-13T00:00:00"/>
    <x v="6"/>
    <s v="Aspirin + Statin"/>
    <x v="1"/>
    <n v="68"/>
    <x v="1"/>
    <x v="0"/>
    <x v="5"/>
  </r>
  <r>
    <x v="11"/>
    <d v="2024-11-04T00:00:00"/>
    <x v="4"/>
    <s v="NSAIDs"/>
    <x v="0"/>
    <n v="36"/>
    <x v="4"/>
    <x v="0"/>
    <x v="4"/>
  </r>
  <r>
    <x v="12"/>
    <d v="2024-08-20T00:00:00"/>
    <x v="7"/>
    <s v="Albuterol Inhaler"/>
    <x v="0"/>
    <n v="41"/>
    <x v="5"/>
    <x v="0"/>
    <x v="6"/>
  </r>
  <r>
    <x v="13"/>
    <d v="2024-02-06T00:00:00"/>
    <x v="7"/>
    <s v="Montelukast"/>
    <x v="1"/>
    <n v="32"/>
    <x v="5"/>
    <x v="0"/>
    <x v="7"/>
  </r>
  <r>
    <x v="14"/>
    <d v="2024-03-05T00:00:00"/>
    <x v="6"/>
    <s v="Aspirin + Statin"/>
    <x v="1"/>
    <n v="61"/>
    <x v="1"/>
    <x v="0"/>
    <x v="0"/>
  </r>
  <r>
    <x v="15"/>
    <d v="2024-10-10T00:00:00"/>
    <x v="3"/>
    <s v="Dietary Counseling"/>
    <x v="0"/>
    <n v="77"/>
    <x v="3"/>
    <x v="0"/>
    <x v="2"/>
  </r>
  <r>
    <x v="16"/>
    <d v="2024-12-06T00:00:00"/>
    <x v="8"/>
    <s v="Lifestyle Modification"/>
    <x v="0"/>
    <n v="72"/>
    <x v="3"/>
    <x v="0"/>
    <x v="8"/>
  </r>
  <r>
    <x v="17"/>
    <d v="2024-11-25T00:00:00"/>
    <x v="8"/>
    <s v="Lifestyle Modification"/>
    <x v="1"/>
    <n v="51"/>
    <x v="3"/>
    <x v="0"/>
    <x v="4"/>
  </r>
  <r>
    <x v="18"/>
    <d v="2024-08-09T00:00:00"/>
    <x v="3"/>
    <s v="Thyroid Monitoring"/>
    <x v="0"/>
    <n v="63"/>
    <x v="3"/>
    <x v="0"/>
    <x v="6"/>
  </r>
  <r>
    <x v="19"/>
    <d v="2024-04-25T00:00:00"/>
    <x v="0"/>
    <s v="Cognitive Behavioral Therapy"/>
    <x v="0"/>
    <n v="34"/>
    <x v="0"/>
    <x v="0"/>
    <x v="9"/>
  </r>
  <r>
    <x v="20"/>
    <d v="2024-02-18T00:00:00"/>
    <x v="8"/>
    <s v="Lifestyle Modification"/>
    <x v="0"/>
    <n v="34"/>
    <x v="3"/>
    <x v="0"/>
    <x v="7"/>
  </r>
  <r>
    <x v="21"/>
    <d v="2024-02-26T00:00:00"/>
    <x v="2"/>
    <s v="Pain Management"/>
    <x v="0"/>
    <n v="46"/>
    <x v="2"/>
    <x v="0"/>
    <x v="7"/>
  </r>
  <r>
    <x v="22"/>
    <d v="2024-04-07T00:00:00"/>
    <x v="3"/>
    <s v="Thyroid Monitoring"/>
    <x v="2"/>
    <n v="38"/>
    <x v="3"/>
    <x v="0"/>
    <x v="9"/>
  </r>
  <r>
    <x v="23"/>
    <d v="2024-02-22T00:00:00"/>
    <x v="9"/>
    <s v="Dialysis"/>
    <x v="0"/>
    <n v="48"/>
    <x v="6"/>
    <x v="0"/>
    <x v="7"/>
  </r>
  <r>
    <x v="24"/>
    <d v="2025-01-14T00:00:00"/>
    <x v="4"/>
    <s v="Methotrexate"/>
    <x v="0"/>
    <n v="70"/>
    <x v="4"/>
    <x v="1"/>
    <x v="1"/>
  </r>
  <r>
    <x v="25"/>
    <d v="2024-12-15T00:00:00"/>
    <x v="8"/>
    <s v="Glipizide"/>
    <x v="1"/>
    <n v="34"/>
    <x v="3"/>
    <x v="0"/>
    <x v="8"/>
  </r>
  <r>
    <x v="26"/>
    <d v="2024-09-22T00:00:00"/>
    <x v="2"/>
    <s v="NSAIDs"/>
    <x v="1"/>
    <n v="60"/>
    <x v="2"/>
    <x v="0"/>
    <x v="5"/>
  </r>
  <r>
    <x v="27"/>
    <d v="2024-10-11T00:00:00"/>
    <x v="9"/>
    <s v="ACE Inhibitors"/>
    <x v="0"/>
    <n v="46"/>
    <x v="6"/>
    <x v="0"/>
    <x v="2"/>
  </r>
  <r>
    <x v="28"/>
    <d v="2024-03-05T00:00:00"/>
    <x v="5"/>
    <s v="Pulmonary Rehabilitation"/>
    <x v="1"/>
    <n v="27"/>
    <x v="5"/>
    <x v="0"/>
    <x v="0"/>
  </r>
  <r>
    <x v="29"/>
    <d v="2024-08-26T00:00:00"/>
    <x v="2"/>
    <s v="Physical Therapy"/>
    <x v="2"/>
    <n v="69"/>
    <x v="2"/>
    <x v="0"/>
    <x v="6"/>
  </r>
  <r>
    <x v="30"/>
    <d v="2024-04-24T00:00:00"/>
    <x v="1"/>
    <s v="Losartan"/>
    <x v="1"/>
    <n v="69"/>
    <x v="1"/>
    <x v="0"/>
    <x v="9"/>
  </r>
  <r>
    <x v="31"/>
    <d v="2024-04-02T00:00:00"/>
    <x v="5"/>
    <s v="Pulmonary Rehabilitation"/>
    <x v="0"/>
    <n v="69"/>
    <x v="5"/>
    <x v="0"/>
    <x v="9"/>
  </r>
  <r>
    <x v="32"/>
    <d v="2024-01-13T00:00:00"/>
    <x v="6"/>
    <s v="Aspirin + Statin"/>
    <x v="1"/>
    <n v="27"/>
    <x v="1"/>
    <x v="0"/>
    <x v="1"/>
  </r>
  <r>
    <x v="33"/>
    <d v="2024-11-09T00:00:00"/>
    <x v="1"/>
    <s v="Lisinopril"/>
    <x v="0"/>
    <n v="36"/>
    <x v="1"/>
    <x v="0"/>
    <x v="4"/>
  </r>
  <r>
    <x v="34"/>
    <d v="2024-08-04T00:00:00"/>
    <x v="1"/>
    <s v="Amlodipine"/>
    <x v="2"/>
    <n v="66"/>
    <x v="1"/>
    <x v="0"/>
    <x v="6"/>
  </r>
  <r>
    <x v="35"/>
    <d v="2024-02-17T00:00:00"/>
    <x v="3"/>
    <s v="Thyroid Monitoring"/>
    <x v="1"/>
    <n v="43"/>
    <x v="3"/>
    <x v="0"/>
    <x v="7"/>
  </r>
  <r>
    <x v="36"/>
    <d v="2024-12-31T00:00:00"/>
    <x v="5"/>
    <s v="Steroids"/>
    <x v="1"/>
    <n v="70"/>
    <x v="5"/>
    <x v="0"/>
    <x v="8"/>
  </r>
  <r>
    <x v="37"/>
    <d v="2024-07-11T00:00:00"/>
    <x v="7"/>
    <s v="Fluticasone"/>
    <x v="1"/>
    <n v="50"/>
    <x v="5"/>
    <x v="0"/>
    <x v="10"/>
  </r>
  <r>
    <x v="38"/>
    <d v="2024-01-22T00:00:00"/>
    <x v="0"/>
    <s v="Counseling"/>
    <x v="1"/>
    <n v="79"/>
    <x v="0"/>
    <x v="0"/>
    <x v="1"/>
  </r>
  <r>
    <x v="39"/>
    <d v="2024-04-05T00:00:00"/>
    <x v="9"/>
    <s v="ACE Inhibitors"/>
    <x v="1"/>
    <n v="48"/>
    <x v="6"/>
    <x v="0"/>
    <x v="9"/>
  </r>
  <r>
    <x v="40"/>
    <d v="2024-05-25T00:00:00"/>
    <x v="7"/>
    <s v="Fluticasone"/>
    <x v="0"/>
    <n v="76"/>
    <x v="5"/>
    <x v="0"/>
    <x v="3"/>
  </r>
  <r>
    <x v="41"/>
    <d v="2024-01-07T00:00:00"/>
    <x v="6"/>
    <s v="Beta Blockers"/>
    <x v="1"/>
    <n v="59"/>
    <x v="1"/>
    <x v="0"/>
    <x v="1"/>
  </r>
  <r>
    <x v="42"/>
    <d v="2024-01-05T00:00:00"/>
    <x v="2"/>
    <s v="NSAIDs"/>
    <x v="2"/>
    <n v="79"/>
    <x v="2"/>
    <x v="0"/>
    <x v="1"/>
  </r>
  <r>
    <x v="43"/>
    <d v="2024-05-31T00:00:00"/>
    <x v="2"/>
    <s v="Pain Management"/>
    <x v="1"/>
    <n v="44"/>
    <x v="2"/>
    <x v="0"/>
    <x v="3"/>
  </r>
  <r>
    <x v="44"/>
    <d v="2024-12-22T00:00:00"/>
    <x v="6"/>
    <s v="Aspirin + Statin"/>
    <x v="0"/>
    <n v="66"/>
    <x v="1"/>
    <x v="0"/>
    <x v="8"/>
  </r>
  <r>
    <x v="45"/>
    <d v="2024-02-11T00:00:00"/>
    <x v="7"/>
    <s v="Fluticasone"/>
    <x v="0"/>
    <n v="62"/>
    <x v="5"/>
    <x v="0"/>
    <x v="7"/>
  </r>
  <r>
    <x v="46"/>
    <d v="2024-04-15T00:00:00"/>
    <x v="1"/>
    <s v="Lifestyle Therapy"/>
    <x v="0"/>
    <n v="76"/>
    <x v="1"/>
    <x v="0"/>
    <x v="9"/>
  </r>
  <r>
    <x v="47"/>
    <d v="2024-06-04T00:00:00"/>
    <x v="3"/>
    <s v="Thyroid Monitoring"/>
    <x v="1"/>
    <n v="72"/>
    <x v="3"/>
    <x v="0"/>
    <x v="11"/>
  </r>
  <r>
    <x v="48"/>
    <d v="2024-01-29T00:00:00"/>
    <x v="8"/>
    <s v="Glipizide"/>
    <x v="0"/>
    <n v="52"/>
    <x v="3"/>
    <x v="0"/>
    <x v="1"/>
  </r>
  <r>
    <x v="49"/>
    <d v="2024-07-28T00:00:00"/>
    <x v="9"/>
    <s v="Phosphate Binders"/>
    <x v="0"/>
    <n v="47"/>
    <x v="6"/>
    <x v="0"/>
    <x v="10"/>
  </r>
  <r>
    <x v="50"/>
    <d v="2024-08-05T00:00:00"/>
    <x v="9"/>
    <s v="Dietary Management"/>
    <x v="1"/>
    <n v="26"/>
    <x v="6"/>
    <x v="0"/>
    <x v="6"/>
  </r>
  <r>
    <x v="51"/>
    <d v="2024-06-02T00:00:00"/>
    <x v="3"/>
    <s v="Dietary Counseling"/>
    <x v="0"/>
    <n v="57"/>
    <x v="3"/>
    <x v="0"/>
    <x v="11"/>
  </r>
  <r>
    <x v="52"/>
    <d v="2024-12-02T00:00:00"/>
    <x v="9"/>
    <s v="Phosphate Binders"/>
    <x v="1"/>
    <n v="45"/>
    <x v="6"/>
    <x v="0"/>
    <x v="8"/>
  </r>
  <r>
    <x v="53"/>
    <d v="2024-08-30T00:00:00"/>
    <x v="0"/>
    <s v="Cognitive Behavioral Therapy"/>
    <x v="0"/>
    <n v="70"/>
    <x v="0"/>
    <x v="0"/>
    <x v="6"/>
  </r>
  <r>
    <x v="54"/>
    <d v="2024-11-01T00:00:00"/>
    <x v="5"/>
    <s v="Oxygen Therapy"/>
    <x v="0"/>
    <n v="26"/>
    <x v="5"/>
    <x v="0"/>
    <x v="4"/>
  </r>
  <r>
    <x v="55"/>
    <d v="2024-12-11T00:00:00"/>
    <x v="3"/>
    <s v="Levothyroxine"/>
    <x v="0"/>
    <n v="72"/>
    <x v="3"/>
    <x v="0"/>
    <x v="8"/>
  </r>
  <r>
    <x v="56"/>
    <d v="2024-06-16T00:00:00"/>
    <x v="9"/>
    <s v="Phosphate Binders"/>
    <x v="1"/>
    <n v="23"/>
    <x v="6"/>
    <x v="0"/>
    <x v="11"/>
  </r>
  <r>
    <x v="57"/>
    <d v="2024-06-26T00:00:00"/>
    <x v="6"/>
    <s v="Beta Blockers"/>
    <x v="0"/>
    <n v="20"/>
    <x v="1"/>
    <x v="0"/>
    <x v="11"/>
  </r>
  <r>
    <x v="58"/>
    <d v="2024-12-23T00:00:00"/>
    <x v="3"/>
    <s v="Thyroid Monitoring"/>
    <x v="1"/>
    <n v="30"/>
    <x v="3"/>
    <x v="0"/>
    <x v="8"/>
  </r>
  <r>
    <x v="59"/>
    <d v="2024-12-15T00:00:00"/>
    <x v="8"/>
    <s v="Glipizide"/>
    <x v="0"/>
    <n v="67"/>
    <x v="3"/>
    <x v="0"/>
    <x v="8"/>
  </r>
  <r>
    <x v="60"/>
    <d v="2024-11-16T00:00:00"/>
    <x v="3"/>
    <s v="Thyroid Monitoring"/>
    <x v="0"/>
    <n v="58"/>
    <x v="3"/>
    <x v="0"/>
    <x v="4"/>
  </r>
  <r>
    <x v="61"/>
    <d v="2024-03-09T00:00:00"/>
    <x v="3"/>
    <s v="Levothyroxine"/>
    <x v="0"/>
    <n v="76"/>
    <x v="3"/>
    <x v="0"/>
    <x v="0"/>
  </r>
  <r>
    <x v="62"/>
    <d v="2024-06-01T00:00:00"/>
    <x v="7"/>
    <s v="Fluticasone"/>
    <x v="0"/>
    <n v="71"/>
    <x v="5"/>
    <x v="0"/>
    <x v="11"/>
  </r>
  <r>
    <x v="63"/>
    <d v="2024-05-30T00:00:00"/>
    <x v="7"/>
    <s v="Albuterol Inhaler"/>
    <x v="0"/>
    <n v="72"/>
    <x v="5"/>
    <x v="0"/>
    <x v="3"/>
  </r>
  <r>
    <x v="64"/>
    <d v="2024-10-14T00:00:00"/>
    <x v="5"/>
    <s v="Steroids"/>
    <x v="2"/>
    <n v="55"/>
    <x v="5"/>
    <x v="0"/>
    <x v="2"/>
  </r>
  <r>
    <x v="65"/>
    <d v="2025-01-19T00:00:00"/>
    <x v="1"/>
    <s v="Lifestyle Therapy"/>
    <x v="1"/>
    <n v="26"/>
    <x v="1"/>
    <x v="1"/>
    <x v="1"/>
  </r>
  <r>
    <x v="66"/>
    <d v="2025-01-03T00:00:00"/>
    <x v="5"/>
    <s v="Steroids"/>
    <x v="1"/>
    <n v="41"/>
    <x v="5"/>
    <x v="1"/>
    <x v="1"/>
  </r>
  <r>
    <x v="67"/>
    <d v="2024-07-28T00:00:00"/>
    <x v="6"/>
    <s v="Angioplasty"/>
    <x v="0"/>
    <n v="72"/>
    <x v="1"/>
    <x v="0"/>
    <x v="10"/>
  </r>
  <r>
    <x v="68"/>
    <d v="2024-06-12T00:00:00"/>
    <x v="1"/>
    <s v="Lifestyle Therapy"/>
    <x v="0"/>
    <n v="64"/>
    <x v="1"/>
    <x v="0"/>
    <x v="11"/>
  </r>
  <r>
    <x v="69"/>
    <d v="2024-08-22T00:00:00"/>
    <x v="0"/>
    <s v="Cognitive Behavioral Therapy"/>
    <x v="0"/>
    <n v="66"/>
    <x v="0"/>
    <x v="0"/>
    <x v="6"/>
  </r>
  <r>
    <x v="70"/>
    <d v="2024-12-04T00:00:00"/>
    <x v="2"/>
    <s v="NSAIDs"/>
    <x v="0"/>
    <n v="40"/>
    <x v="2"/>
    <x v="0"/>
    <x v="8"/>
  </r>
  <r>
    <x v="71"/>
    <d v="2024-11-20T00:00:00"/>
    <x v="1"/>
    <s v="Amlodipine"/>
    <x v="0"/>
    <n v="26"/>
    <x v="1"/>
    <x v="0"/>
    <x v="4"/>
  </r>
  <r>
    <x v="72"/>
    <d v="2024-05-15T00:00:00"/>
    <x v="6"/>
    <s v="Beta Blockers"/>
    <x v="0"/>
    <n v="58"/>
    <x v="1"/>
    <x v="0"/>
    <x v="3"/>
  </r>
  <r>
    <x v="73"/>
    <d v="2024-01-15T00:00:00"/>
    <x v="5"/>
    <s v="Oxygen Therapy"/>
    <x v="2"/>
    <n v="75"/>
    <x v="5"/>
    <x v="0"/>
    <x v="1"/>
  </r>
  <r>
    <x v="74"/>
    <d v="2024-05-07T00:00:00"/>
    <x v="8"/>
    <s v="Metformin"/>
    <x v="2"/>
    <n v="61"/>
    <x v="3"/>
    <x v="0"/>
    <x v="3"/>
  </r>
  <r>
    <x v="75"/>
    <d v="2024-04-03T00:00:00"/>
    <x v="3"/>
    <s v="Levothyroxine"/>
    <x v="0"/>
    <n v="66"/>
    <x v="3"/>
    <x v="0"/>
    <x v="9"/>
  </r>
  <r>
    <x v="76"/>
    <d v="2024-11-20T00:00:00"/>
    <x v="7"/>
    <s v="Lifestyle Modification"/>
    <x v="1"/>
    <n v="58"/>
    <x v="5"/>
    <x v="0"/>
    <x v="4"/>
  </r>
  <r>
    <x v="77"/>
    <d v="2024-11-11T00:00:00"/>
    <x v="2"/>
    <s v="Physical Therapy"/>
    <x v="0"/>
    <n v="25"/>
    <x v="2"/>
    <x v="0"/>
    <x v="4"/>
  </r>
  <r>
    <x v="78"/>
    <d v="2024-03-10T00:00:00"/>
    <x v="8"/>
    <s v="Metformin"/>
    <x v="1"/>
    <n v="45"/>
    <x v="3"/>
    <x v="0"/>
    <x v="0"/>
  </r>
  <r>
    <x v="79"/>
    <d v="2024-09-12T00:00:00"/>
    <x v="5"/>
    <s v="Bronchodilators"/>
    <x v="0"/>
    <n v="52"/>
    <x v="5"/>
    <x v="0"/>
    <x v="5"/>
  </r>
  <r>
    <x v="80"/>
    <d v="2024-08-05T00:00:00"/>
    <x v="0"/>
    <s v="SSRIs"/>
    <x v="2"/>
    <n v="39"/>
    <x v="0"/>
    <x v="0"/>
    <x v="6"/>
  </r>
  <r>
    <x v="81"/>
    <d v="2024-11-01T00:00:00"/>
    <x v="8"/>
    <s v="Metformin"/>
    <x v="0"/>
    <n v="58"/>
    <x v="3"/>
    <x v="0"/>
    <x v="4"/>
  </r>
  <r>
    <x v="82"/>
    <d v="2024-10-23T00:00:00"/>
    <x v="9"/>
    <s v="Phosphate Binders"/>
    <x v="2"/>
    <n v="29"/>
    <x v="6"/>
    <x v="0"/>
    <x v="2"/>
  </r>
  <r>
    <x v="83"/>
    <d v="2024-04-04T00:00:00"/>
    <x v="2"/>
    <s v="Physical Therapy"/>
    <x v="0"/>
    <n v="34"/>
    <x v="2"/>
    <x v="0"/>
    <x v="9"/>
  </r>
  <r>
    <x v="84"/>
    <d v="2024-12-23T00:00:00"/>
    <x v="0"/>
    <s v="SSRIs"/>
    <x v="0"/>
    <n v="20"/>
    <x v="0"/>
    <x v="0"/>
    <x v="8"/>
  </r>
  <r>
    <x v="85"/>
    <d v="2025-01-27T00:00:00"/>
    <x v="0"/>
    <s v="Counseling"/>
    <x v="1"/>
    <n v="25"/>
    <x v="0"/>
    <x v="1"/>
    <x v="1"/>
  </r>
  <r>
    <x v="86"/>
    <d v="2024-07-11T00:00:00"/>
    <x v="2"/>
    <s v="Pain Management"/>
    <x v="1"/>
    <n v="37"/>
    <x v="2"/>
    <x v="0"/>
    <x v="10"/>
  </r>
  <r>
    <x v="87"/>
    <d v="2024-03-03T00:00:00"/>
    <x v="9"/>
    <s v="Phosphate Binders"/>
    <x v="1"/>
    <n v="72"/>
    <x v="6"/>
    <x v="0"/>
    <x v="0"/>
  </r>
  <r>
    <x v="88"/>
    <d v="2024-05-22T00:00:00"/>
    <x v="6"/>
    <s v="Beta Blockers"/>
    <x v="0"/>
    <n v="61"/>
    <x v="1"/>
    <x v="0"/>
    <x v="3"/>
  </r>
  <r>
    <x v="89"/>
    <d v="2024-08-25T00:00:00"/>
    <x v="1"/>
    <s v="Amlodipine"/>
    <x v="1"/>
    <n v="73"/>
    <x v="1"/>
    <x v="0"/>
    <x v="6"/>
  </r>
  <r>
    <x v="90"/>
    <d v="2024-08-27T00:00:00"/>
    <x v="9"/>
    <s v="Dietary Management"/>
    <x v="0"/>
    <n v="72"/>
    <x v="6"/>
    <x v="0"/>
    <x v="6"/>
  </r>
  <r>
    <x v="91"/>
    <d v="2024-01-13T00:00:00"/>
    <x v="7"/>
    <s v="Fluticasone"/>
    <x v="2"/>
    <n v="31"/>
    <x v="5"/>
    <x v="0"/>
    <x v="1"/>
  </r>
  <r>
    <x v="92"/>
    <d v="2025-01-15T00:00:00"/>
    <x v="4"/>
    <s v="Biologics"/>
    <x v="0"/>
    <n v="27"/>
    <x v="4"/>
    <x v="1"/>
    <x v="1"/>
  </r>
  <r>
    <x v="93"/>
    <d v="2024-03-14T00:00:00"/>
    <x v="3"/>
    <s v="Thyroid Monitoring"/>
    <x v="2"/>
    <n v="53"/>
    <x v="3"/>
    <x v="0"/>
    <x v="0"/>
  </r>
  <r>
    <x v="94"/>
    <d v="2024-05-29T00:00:00"/>
    <x v="2"/>
    <s v="Physical Therapy"/>
    <x v="0"/>
    <n v="38"/>
    <x v="2"/>
    <x v="0"/>
    <x v="3"/>
  </r>
  <r>
    <x v="95"/>
    <d v="2024-03-15T00:00:00"/>
    <x v="5"/>
    <s v="Bronchodilators"/>
    <x v="0"/>
    <n v="21"/>
    <x v="5"/>
    <x v="0"/>
    <x v="0"/>
  </r>
  <r>
    <x v="96"/>
    <d v="2024-07-01T00:00:00"/>
    <x v="8"/>
    <s v="Lifestyle Modification"/>
    <x v="1"/>
    <n v="71"/>
    <x v="3"/>
    <x v="0"/>
    <x v="10"/>
  </r>
  <r>
    <x v="97"/>
    <d v="2024-10-19T00:00:00"/>
    <x v="0"/>
    <s v="Counseling"/>
    <x v="0"/>
    <n v="30"/>
    <x v="0"/>
    <x v="0"/>
    <x v="2"/>
  </r>
  <r>
    <x v="98"/>
    <d v="2024-04-14T00:00:00"/>
    <x v="3"/>
    <s v="Levothyroxine"/>
    <x v="0"/>
    <n v="47"/>
    <x v="3"/>
    <x v="0"/>
    <x v="9"/>
  </r>
  <r>
    <x v="99"/>
    <d v="2024-09-26T00:00:00"/>
    <x v="0"/>
    <s v="Lifestyle Modification"/>
    <x v="1"/>
    <n v="74"/>
    <x v="0"/>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ABAEDE-7FFA-4D8A-9E3D-8D8798C9CBAE}"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L9" firstHeaderRow="1" firstDataRow="2" firstDataCol="1"/>
  <pivotFields count="9">
    <pivotField dataField="1" showAll="0"/>
    <pivotField numFmtId="14" showAll="0"/>
    <pivotField axis="axisCol" showAll="0" sortType="ascending">
      <items count="11">
        <item x="7"/>
        <item x="9"/>
        <item x="5"/>
        <item x="6"/>
        <item x="0"/>
        <item x="8"/>
        <item x="1"/>
        <item x="3"/>
        <item x="2"/>
        <item x="4"/>
        <item t="default"/>
      </items>
    </pivotField>
    <pivotField showAll="0"/>
    <pivotField showAll="0"/>
    <pivotField showAll="0"/>
    <pivotField showAll="0">
      <items count="8">
        <item x="1"/>
        <item x="3"/>
        <item x="6"/>
        <item x="2"/>
        <item x="0"/>
        <item x="5"/>
        <item x="4"/>
        <item t="default"/>
      </items>
    </pivotField>
    <pivotField showAll="0">
      <items count="3">
        <item x="0"/>
        <item x="1"/>
        <item t="default"/>
      </items>
    </pivotField>
    <pivotField showAll="0"/>
  </pivotFields>
  <rowItems count="1">
    <i/>
  </rowItems>
  <colFields count="1">
    <field x="2"/>
  </colFields>
  <colItems count="11">
    <i>
      <x/>
    </i>
    <i>
      <x v="1"/>
    </i>
    <i>
      <x v="2"/>
    </i>
    <i>
      <x v="3"/>
    </i>
    <i>
      <x v="4"/>
    </i>
    <i>
      <x v="5"/>
    </i>
    <i>
      <x v="6"/>
    </i>
    <i>
      <x v="7"/>
    </i>
    <i>
      <x v="8"/>
    </i>
    <i>
      <x v="9"/>
    </i>
    <i t="grand">
      <x/>
    </i>
  </colItems>
  <dataFields count="1">
    <dataField name="Diagnosis Frequency" fld="0" subtotal="count" baseField="2" baseItem="1"/>
  </dataFields>
  <chartFormats count="2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16" format="20" series="1">
      <pivotArea type="data" outline="0" fieldPosition="0">
        <references count="2">
          <reference field="4294967294" count="1" selected="0">
            <x v="0"/>
          </reference>
          <reference field="2" count="1" selected="0">
            <x v="0"/>
          </reference>
        </references>
      </pivotArea>
    </chartFormat>
    <chartFormat chart="16" format="21" series="1">
      <pivotArea type="data" outline="0" fieldPosition="0">
        <references count="2">
          <reference field="4294967294" count="1" selected="0">
            <x v="0"/>
          </reference>
          <reference field="2" count="1" selected="0">
            <x v="1"/>
          </reference>
        </references>
      </pivotArea>
    </chartFormat>
    <chartFormat chart="16" format="22" series="1">
      <pivotArea type="data" outline="0" fieldPosition="0">
        <references count="2">
          <reference field="4294967294" count="1" selected="0">
            <x v="0"/>
          </reference>
          <reference field="2" count="1" selected="0">
            <x v="2"/>
          </reference>
        </references>
      </pivotArea>
    </chartFormat>
    <chartFormat chart="16" format="23" series="1">
      <pivotArea type="data" outline="0" fieldPosition="0">
        <references count="2">
          <reference field="4294967294" count="1" selected="0">
            <x v="0"/>
          </reference>
          <reference field="2" count="1" selected="0">
            <x v="3"/>
          </reference>
        </references>
      </pivotArea>
    </chartFormat>
    <chartFormat chart="16" format="24" series="1">
      <pivotArea type="data" outline="0" fieldPosition="0">
        <references count="2">
          <reference field="4294967294" count="1" selected="0">
            <x v="0"/>
          </reference>
          <reference field="2" count="1" selected="0">
            <x v="4"/>
          </reference>
        </references>
      </pivotArea>
    </chartFormat>
    <chartFormat chart="16" format="25" series="1">
      <pivotArea type="data" outline="0" fieldPosition="0">
        <references count="2">
          <reference field="4294967294" count="1" selected="0">
            <x v="0"/>
          </reference>
          <reference field="2" count="1" selected="0">
            <x v="5"/>
          </reference>
        </references>
      </pivotArea>
    </chartFormat>
    <chartFormat chart="16" format="26" series="1">
      <pivotArea type="data" outline="0" fieldPosition="0">
        <references count="2">
          <reference field="4294967294" count="1" selected="0">
            <x v="0"/>
          </reference>
          <reference field="2" count="1" selected="0">
            <x v="6"/>
          </reference>
        </references>
      </pivotArea>
    </chartFormat>
    <chartFormat chart="16" format="27" series="1">
      <pivotArea type="data" outline="0" fieldPosition="0">
        <references count="2">
          <reference field="4294967294" count="1" selected="0">
            <x v="0"/>
          </reference>
          <reference field="2" count="1" selected="0">
            <x v="7"/>
          </reference>
        </references>
      </pivotArea>
    </chartFormat>
    <chartFormat chart="16" format="28" series="1">
      <pivotArea type="data" outline="0" fieldPosition="0">
        <references count="2">
          <reference field="4294967294" count="1" selected="0">
            <x v="0"/>
          </reference>
          <reference field="2" count="1" selected="0">
            <x v="8"/>
          </reference>
        </references>
      </pivotArea>
    </chartFormat>
    <chartFormat chart="16" format="29" series="1">
      <pivotArea type="data" outline="0" fieldPosition="0">
        <references count="2">
          <reference field="4294967294" count="1" selected="0">
            <x v="0"/>
          </reference>
          <reference field="2" count="1" selected="0">
            <x v="9"/>
          </reference>
        </references>
      </pivotArea>
    </chartFormat>
    <chartFormat chart="16" format="30">
      <pivotArea type="data" outline="0" fieldPosition="0">
        <references count="2">
          <reference field="4294967294" count="1" selected="0">
            <x v="0"/>
          </reference>
          <reference field="2" count="1" selected="0">
            <x v="9"/>
          </reference>
        </references>
      </pivotArea>
    </chartFormat>
    <chartFormat chart="16" format="31">
      <pivotArea type="data" outline="0" fieldPosition="0">
        <references count="2">
          <reference field="4294967294" count="1" selected="0">
            <x v="0"/>
          </reference>
          <reference field="2" count="1" selected="0">
            <x v="8"/>
          </reference>
        </references>
      </pivotArea>
    </chartFormat>
    <chartFormat chart="16" format="3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22CB34-538A-46DA-945E-B3E645ED21D3}"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5:I119" firstHeaderRow="1" firstDataRow="2" firstDataCol="1"/>
  <pivotFields count="9">
    <pivotField dataField="1" showAll="0"/>
    <pivotField numFmtId="14" showAll="0"/>
    <pivotField showAll="0"/>
    <pivotField showAll="0"/>
    <pivotField showAll="0"/>
    <pivotField showAll="0"/>
    <pivotField axis="axisCol" showAll="0">
      <items count="8">
        <item x="1"/>
        <item x="3"/>
        <item x="6"/>
        <item x="2"/>
        <item x="0"/>
        <item x="5"/>
        <item x="4"/>
        <item t="default"/>
      </items>
    </pivotField>
    <pivotField showAll="0">
      <items count="3">
        <item x="0"/>
        <item x="1"/>
        <item t="default"/>
      </items>
    </pivotField>
    <pivotField axis="axisRow" showAll="0">
      <items count="13">
        <item x="1"/>
        <item x="7"/>
        <item x="0"/>
        <item x="9"/>
        <item x="3"/>
        <item x="11"/>
        <item x="10"/>
        <item x="6"/>
        <item x="5"/>
        <item x="2"/>
        <item x="4"/>
        <item x="8"/>
        <item t="default"/>
      </items>
    </pivotField>
  </pivotFields>
  <rowFields count="1">
    <field x="8"/>
  </rowFields>
  <rowItems count="13">
    <i>
      <x/>
    </i>
    <i>
      <x v="1"/>
    </i>
    <i>
      <x v="2"/>
    </i>
    <i>
      <x v="3"/>
    </i>
    <i>
      <x v="4"/>
    </i>
    <i>
      <x v="5"/>
    </i>
    <i>
      <x v="6"/>
    </i>
    <i>
      <x v="7"/>
    </i>
    <i>
      <x v="8"/>
    </i>
    <i>
      <x v="9"/>
    </i>
    <i>
      <x v="10"/>
    </i>
    <i>
      <x v="11"/>
    </i>
    <i t="grand">
      <x/>
    </i>
  </rowItems>
  <colFields count="1">
    <field x="6"/>
  </colFields>
  <colItems count="8">
    <i>
      <x/>
    </i>
    <i>
      <x v="1"/>
    </i>
    <i>
      <x v="2"/>
    </i>
    <i>
      <x v="3"/>
    </i>
    <i>
      <x v="4"/>
    </i>
    <i>
      <x v="5"/>
    </i>
    <i>
      <x v="6"/>
    </i>
    <i t="grand">
      <x/>
    </i>
  </colItems>
  <dataFields count="1">
    <dataField name="Monthly Trend per Department" fld="0" subtotal="count" baseField="8" baseItem="0"/>
  </dataFields>
  <chartFormats count="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1BAB13-1224-477A-9854-5656E7305794}" name="PivotTable3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6:E95" firstHeaderRow="1" firstDataRow="2" firstDataCol="1"/>
  <pivotFields count="9">
    <pivotField dataField="1" showAll="0"/>
    <pivotField numFmtId="14" showAll="0"/>
    <pivotField showAll="0"/>
    <pivotField showAll="0"/>
    <pivotField axis="axisCol" showAll="0">
      <items count="4">
        <item x="0"/>
        <item x="1"/>
        <item x="2"/>
        <item t="default"/>
      </items>
    </pivotField>
    <pivotField showAll="0"/>
    <pivotField axis="axisRow" showAll="0">
      <items count="8">
        <item x="1"/>
        <item x="3"/>
        <item x="6"/>
        <item x="2"/>
        <item x="0"/>
        <item x="5"/>
        <item x="4"/>
        <item t="default"/>
      </items>
    </pivotField>
    <pivotField showAll="0">
      <items count="3">
        <item x="0"/>
        <item x="1"/>
        <item t="default"/>
      </items>
    </pivotField>
    <pivotField showAll="0"/>
  </pivotFields>
  <rowFields count="1">
    <field x="6"/>
  </rowFields>
  <rowItems count="8">
    <i>
      <x/>
    </i>
    <i>
      <x v="1"/>
    </i>
    <i>
      <x v="2"/>
    </i>
    <i>
      <x v="3"/>
    </i>
    <i>
      <x v="4"/>
    </i>
    <i>
      <x v="5"/>
    </i>
    <i>
      <x v="6"/>
    </i>
    <i t="grand">
      <x/>
    </i>
  </rowItems>
  <colFields count="1">
    <field x="4"/>
  </colFields>
  <colItems count="4">
    <i>
      <x/>
    </i>
    <i>
      <x v="1"/>
    </i>
    <i>
      <x v="2"/>
    </i>
    <i t="grand">
      <x/>
    </i>
  </colItems>
  <dataFields count="1">
    <dataField name="Outcome by Department" fld="0" subtotal="count" baseField="6"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C488B7-406C-43EE-B4B1-FFBE7672DE35}" name="PivotTable3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2:I64" firstHeaderRow="1" firstDataRow="2" firstDataCol="1"/>
  <pivotFields count="9">
    <pivotField dataField="1" showAll="0"/>
    <pivotField numFmtId="14" showAll="0"/>
    <pivotField showAll="0"/>
    <pivotField showAll="0"/>
    <pivotField showAll="0"/>
    <pivotField showAll="0"/>
    <pivotField axis="axisCol" showAll="0">
      <items count="8">
        <item x="1"/>
        <item x="3"/>
        <item x="6"/>
        <item x="2"/>
        <item x="0"/>
        <item x="5"/>
        <item x="4"/>
        <item t="default"/>
      </items>
    </pivotField>
    <pivotField showAll="0">
      <items count="3">
        <item x="0"/>
        <item x="1"/>
        <item t="default"/>
      </items>
    </pivotField>
    <pivotField showAll="0"/>
  </pivotFields>
  <rowItems count="1">
    <i/>
  </rowItems>
  <colFields count="1">
    <field x="6"/>
  </colFields>
  <colItems count="8">
    <i>
      <x/>
    </i>
    <i>
      <x v="1"/>
    </i>
    <i>
      <x v="2"/>
    </i>
    <i>
      <x v="3"/>
    </i>
    <i>
      <x v="4"/>
    </i>
    <i>
      <x v="5"/>
    </i>
    <i>
      <x v="6"/>
    </i>
    <i t="grand">
      <x/>
    </i>
  </colItems>
  <dataFields count="1">
    <dataField name="Patients per Department" fld="0" subtotal="count" showDataAs="percentOfTotal" baseField="6" baseItem="0" numFmtId="10"/>
  </dataFields>
  <chartFormats count="1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15" format="14" series="1">
      <pivotArea type="data" outline="0" fieldPosition="0">
        <references count="2">
          <reference field="4294967294" count="1" selected="0">
            <x v="0"/>
          </reference>
          <reference field="6" count="1" selected="0">
            <x v="0"/>
          </reference>
        </references>
      </pivotArea>
    </chartFormat>
    <chartFormat chart="15" format="15" series="1">
      <pivotArea type="data" outline="0" fieldPosition="0">
        <references count="2">
          <reference field="4294967294" count="1" selected="0">
            <x v="0"/>
          </reference>
          <reference field="6" count="1" selected="0">
            <x v="1"/>
          </reference>
        </references>
      </pivotArea>
    </chartFormat>
    <chartFormat chart="15" format="16" series="1">
      <pivotArea type="data" outline="0" fieldPosition="0">
        <references count="2">
          <reference field="4294967294" count="1" selected="0">
            <x v="0"/>
          </reference>
          <reference field="6" count="1" selected="0">
            <x v="2"/>
          </reference>
        </references>
      </pivotArea>
    </chartFormat>
    <chartFormat chart="15" format="17" series="1">
      <pivotArea type="data" outline="0" fieldPosition="0">
        <references count="2">
          <reference field="4294967294" count="1" selected="0">
            <x v="0"/>
          </reference>
          <reference field="6" count="1" selected="0">
            <x v="3"/>
          </reference>
        </references>
      </pivotArea>
    </chartFormat>
    <chartFormat chart="15" format="18" series="1">
      <pivotArea type="data" outline="0" fieldPosition="0">
        <references count="2">
          <reference field="4294967294" count="1" selected="0">
            <x v="0"/>
          </reference>
          <reference field="6" count="1" selected="0">
            <x v="4"/>
          </reference>
        </references>
      </pivotArea>
    </chartFormat>
    <chartFormat chart="15" format="19" series="1">
      <pivotArea type="data" outline="0" fieldPosition="0">
        <references count="2">
          <reference field="4294967294" count="1" selected="0">
            <x v="0"/>
          </reference>
          <reference field="6" count="1" selected="0">
            <x v="5"/>
          </reference>
        </references>
      </pivotArea>
    </chartFormat>
    <chartFormat chart="15"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9CBB48-86EC-4FA5-B48F-6BFA0E5D9E4B}" name="Outcome Distribution by Diagno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9:E41" firstHeaderRow="1" firstDataRow="2" firstDataCol="1"/>
  <pivotFields count="9">
    <pivotField dataField="1" showAll="0"/>
    <pivotField numFmtId="14" showAll="0"/>
    <pivotField axis="axisRow" showAll="0">
      <items count="11">
        <item x="7"/>
        <item x="9"/>
        <item x="5"/>
        <item x="6"/>
        <item x="0"/>
        <item x="8"/>
        <item x="1"/>
        <item x="3"/>
        <item x="2"/>
        <item x="4"/>
        <item t="default"/>
      </items>
    </pivotField>
    <pivotField showAll="0"/>
    <pivotField axis="axisCol" showAll="0">
      <items count="4">
        <item x="0"/>
        <item x="1"/>
        <item x="2"/>
        <item t="default"/>
      </items>
    </pivotField>
    <pivotField showAll="0"/>
    <pivotField showAll="0">
      <items count="8">
        <item x="1"/>
        <item x="3"/>
        <item x="6"/>
        <item x="2"/>
        <item x="0"/>
        <item x="5"/>
        <item x="4"/>
        <item t="default"/>
      </items>
    </pivotField>
    <pivotField showAll="0">
      <items count="3">
        <item x="0"/>
        <item x="1"/>
        <item t="default"/>
      </items>
    </pivotField>
    <pivotField showAll="0"/>
  </pivotFields>
  <rowFields count="1">
    <field x="2"/>
  </rowFields>
  <rowItems count="11">
    <i>
      <x/>
    </i>
    <i>
      <x v="1"/>
    </i>
    <i>
      <x v="2"/>
    </i>
    <i>
      <x v="3"/>
    </i>
    <i>
      <x v="4"/>
    </i>
    <i>
      <x v="5"/>
    </i>
    <i>
      <x v="6"/>
    </i>
    <i>
      <x v="7"/>
    </i>
    <i>
      <x v="8"/>
    </i>
    <i>
      <x v="9"/>
    </i>
    <i t="grand">
      <x/>
    </i>
  </rowItems>
  <colFields count="1">
    <field x="4"/>
  </colFields>
  <colItems count="4">
    <i>
      <x/>
    </i>
    <i>
      <x v="1"/>
    </i>
    <i>
      <x v="2"/>
    </i>
    <i t="grand">
      <x/>
    </i>
  </colItems>
  <dataFields count="1">
    <dataField name="Outcome Distribution by Diagnosis" fld="0" subtotal="count" baseField="2"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13" format="6" series="1">
      <pivotArea type="data" outline="0" fieldPosition="0">
        <references count="2">
          <reference field="4294967294" count="1" selected="0">
            <x v="0"/>
          </reference>
          <reference field="4" count="1" selected="0">
            <x v="0"/>
          </reference>
        </references>
      </pivotArea>
    </chartFormat>
    <chartFormat chart="13" format="7" series="1">
      <pivotArea type="data" outline="0" fieldPosition="0">
        <references count="2">
          <reference field="4294967294" count="1" selected="0">
            <x v="0"/>
          </reference>
          <reference field="4" count="1" selected="0">
            <x v="1"/>
          </reference>
        </references>
      </pivotArea>
    </chartFormat>
    <chartFormat chart="1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CDBFE08F-D1E2-486A-8115-E75EEFC81215}" sourceName="Department">
  <pivotTables>
    <pivotTable tabId="6" name="PivotTable35"/>
    <pivotTable tabId="6" name="Outcome Distribution by Diagnosis"/>
    <pivotTable tabId="6" name="PivotTable38"/>
    <pivotTable tabId="6" name="PivotTable39"/>
    <pivotTable tabId="6" name="PivotTable40"/>
  </pivotTables>
  <data>
    <tabular pivotCacheId="1378633505">
      <items count="7">
        <i x="1" s="1"/>
        <i x="3" s="1"/>
        <i x="6" s="1"/>
        <i x="2" s="1"/>
        <i x="0"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Year3" xr10:uid="{DAB63A86-7C29-498C-BF96-261DA53A7FE1}" sourceName="Visit_Year">
  <pivotTables>
    <pivotTable tabId="6" name="PivotTable35"/>
    <pivotTable tabId="6" name="Outcome Distribution by Diagnosis"/>
    <pivotTable tabId="6" name="PivotTable38"/>
    <pivotTable tabId="6" name="PivotTable39"/>
    <pivotTable tabId="6" name="PivotTable40"/>
  </pivotTables>
  <data>
    <tabular pivotCacheId="13786335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C2DCE8F-3B94-4B8B-A7BF-16A69B665442}" sourceName="Department">
  <extLst>
    <x:ext xmlns:x15="http://schemas.microsoft.com/office/spreadsheetml/2010/11/main" uri="{2F2917AC-EB37-4324-AD4E-5DD8C200BD13}">
      <x15:tableSlicerCache tableId="3" column="7"/>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Year" xr10:uid="{5F76AE0D-94CD-4733-B811-52D796532376}" sourceName="Visit_Year">
  <extLst>
    <x:ext xmlns:x15="http://schemas.microsoft.com/office/spreadsheetml/2010/11/main" uri="{2F2917AC-EB37-4324-AD4E-5DD8C200BD13}">
      <x15:tableSlicerCache tableId="3" column="8"/>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22F96AA-188A-4F38-8F35-C6C8EE472ABE}" cache="Slicer_Department" caption="Department" rowHeight="247650"/>
  <slicer name="Visit_Year 1" xr10:uid="{9828B766-2939-4015-AF5F-5F249E17405D}" cache="Slicer_Visit_Year" caption="Visit_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4E8EF614-909B-40FB-9BBE-8B1628A4DABC}" cache="Slicer_Department3" caption="Department" rowHeight="247650"/>
  <slicer name="Department 2" xr10:uid="{EE28ADF1-ACD0-481A-90EC-02A9C86F8834}" cache="Slicer_Department3" caption="Department" rowHeight="247650"/>
  <slicer name="Department" xr10:uid="{AF869D4F-4110-4C3B-9820-C489A4F23A7E}" cache="Slicer_Department3" caption="Department" rowHeight="247650"/>
  <slicer name="Department 4" xr10:uid="{96090234-E973-4F4A-AF80-581CAC09C258}" cache="Slicer_Department3" caption="Department" rowHeight="247650"/>
  <slicer name="Visit_Year 3" xr10:uid="{B77B8CA7-D4A8-4724-A4DD-D20CFEDE0B46}" cache="Slicer_Visit_Year3" caption="Visit_Year" rowHeight="247650"/>
  <slicer name="Visit_Year 2" xr10:uid="{867ADD8E-DF2B-45D2-B7FD-55AB7082C780}" cache="Slicer_Visit_Year3" caption="Visit_Year" rowHeight="247650"/>
  <slicer name="Visit_Year" xr10:uid="{C5073219-FE90-425C-84BF-C30A9D9B0945}" cache="Slicer_Visit_Year3" caption="Visit_Year" rowHeight="247650"/>
  <slicer name="Visit_Year 4" xr10:uid="{3EAA3358-8288-4286-AB23-C012482689B3}" cache="Slicer_Visit_Year3" caption="Visit_Yea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7E3A3546-6D27-461B-A9F3-67345E6F0390}" cache="Slicer_Department3" caption="Departmen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_Year " xr10:uid="{D20B8002-709F-4DF7-BBE0-E5B823BB5CBD}" cache="Slicer_Visit_Year" caption="Visit_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ED635F-2097-4ED8-9EC6-BA3092CDFE9C}" name="tbl_Healthcare" displayName="tbl_Healthcare" ref="A1:I101" totalsRowShown="0">
  <autoFilter ref="A1:I101" xr:uid="{80ED635F-2097-4ED8-9EC6-BA3092CDFE9C}"/>
  <tableColumns count="9">
    <tableColumn id="1" xr3:uid="{AB796A67-8693-4B31-852A-B68745906F2D}" name="Patient_ID"/>
    <tableColumn id="2" xr3:uid="{75ECB9B0-A505-46CA-914B-2767BE59C310}" name="Visit_Date" dataDxfId="2"/>
    <tableColumn id="3" xr3:uid="{14E6EF8B-7BDC-4520-9D4B-6D52F1F84F87}" name="Diagnosis"/>
    <tableColumn id="4" xr3:uid="{0E298281-7715-464F-9760-66A2A4966ED0}" name="Treatment"/>
    <tableColumn id="5" xr3:uid="{F6E770AA-49C2-4F83-B672-4ED1EEE076CC}" name="Outcome"/>
    <tableColumn id="6" xr3:uid="{0C0A5EAC-F7A0-4788-BD11-A9836EA1FB1F}" name="Age"/>
    <tableColumn id="7" xr3:uid="{B5EE7683-1B5E-41BE-B6D1-71678F5CDCE8}" name="Department"/>
    <tableColumn id="8" xr3:uid="{32165EAC-F086-4416-9080-3565837ED787}" name="Visit_Year" dataDxfId="1">
      <calculatedColumnFormula>YEAR(tbl_Healthcare[[#This Row],[Visit_Date]])</calculatedColumnFormula>
    </tableColumn>
    <tableColumn id="9" xr3:uid="{7926A422-BE22-4D7B-9A59-45DA75C083BF}" name="Visit_Month" dataDxfId="0">
      <calculatedColumnFormula>TEXT(tbl_Healthcare[[#This Row],[Visit_Date]],"MMM")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D8F33-AD9D-49DC-8034-7D584CFCE130}">
  <dimension ref="A1:I101"/>
  <sheetViews>
    <sheetView topLeftCell="A7" workbookViewId="0">
      <selection activeCell="C2" sqref="C2:C101"/>
    </sheetView>
  </sheetViews>
  <sheetFormatPr defaultRowHeight="14.4"/>
  <cols>
    <col min="1" max="1" width="11.77734375" bestFit="1" customWidth="1"/>
    <col min="2" max="2" width="11.6640625" bestFit="1" customWidth="1"/>
    <col min="3" max="3" width="20.44140625" bestFit="1" customWidth="1"/>
    <col min="4" max="4" width="24.109375" bestFit="1" customWidth="1"/>
    <col min="5" max="5" width="10.88671875" bestFit="1" customWidth="1"/>
    <col min="6" max="6" width="6.21875" bestFit="1" customWidth="1"/>
    <col min="7" max="7" width="13.21875" bestFit="1" customWidth="1"/>
  </cols>
  <sheetData>
    <row r="1" spans="1:9">
      <c r="A1" t="s">
        <v>0</v>
      </c>
      <c r="B1" t="s">
        <v>1</v>
      </c>
      <c r="C1" t="s">
        <v>2</v>
      </c>
      <c r="D1" t="s">
        <v>3</v>
      </c>
      <c r="E1" t="s">
        <v>4</v>
      </c>
      <c r="F1" t="s">
        <v>5</v>
      </c>
      <c r="G1" t="s">
        <v>6</v>
      </c>
      <c r="H1" t="s">
        <v>160</v>
      </c>
      <c r="I1" t="s">
        <v>161</v>
      </c>
    </row>
    <row r="2" spans="1:9">
      <c r="A2" t="s">
        <v>7</v>
      </c>
      <c r="B2" s="1">
        <v>45356</v>
      </c>
      <c r="C2" t="s">
        <v>8</v>
      </c>
      <c r="D2" t="s">
        <v>9</v>
      </c>
      <c r="E2" t="s">
        <v>10</v>
      </c>
      <c r="F2">
        <v>65</v>
      </c>
      <c r="G2" t="s">
        <v>11</v>
      </c>
      <c r="H2">
        <f>YEAR(tbl_Healthcare[[#This Row],[Visit_Date]])</f>
        <v>2024</v>
      </c>
      <c r="I2" t="str">
        <f>TEXT(tbl_Healthcare[[#This Row],[Visit_Date]],"MMM")</f>
        <v>Mar</v>
      </c>
    </row>
    <row r="3" spans="1:9">
      <c r="A3" t="s">
        <v>12</v>
      </c>
      <c r="B3" s="1">
        <v>45292</v>
      </c>
      <c r="C3" t="s">
        <v>8</v>
      </c>
      <c r="D3" t="s">
        <v>13</v>
      </c>
      <c r="E3" t="s">
        <v>10</v>
      </c>
      <c r="F3">
        <v>31</v>
      </c>
      <c r="G3" t="s">
        <v>11</v>
      </c>
      <c r="H3">
        <f>YEAR(tbl_Healthcare[[#This Row],[Visit_Date]])</f>
        <v>2024</v>
      </c>
      <c r="I3" t="str">
        <f>TEXT(tbl_Healthcare[[#This Row],[Visit_Date]],"MMM")</f>
        <v>Jan</v>
      </c>
    </row>
    <row r="4" spans="1:9">
      <c r="A4" t="s">
        <v>14</v>
      </c>
      <c r="B4" s="1">
        <v>45377</v>
      </c>
      <c r="C4" t="s">
        <v>15</v>
      </c>
      <c r="D4" t="s">
        <v>16</v>
      </c>
      <c r="E4" t="s">
        <v>10</v>
      </c>
      <c r="F4">
        <v>39</v>
      </c>
      <c r="G4" t="s">
        <v>17</v>
      </c>
      <c r="H4">
        <f>YEAR(tbl_Healthcare[[#This Row],[Visit_Date]])</f>
        <v>2024</v>
      </c>
      <c r="I4" t="str">
        <f>TEXT(tbl_Healthcare[[#This Row],[Visit_Date]],"MMM")</f>
        <v>Mar</v>
      </c>
    </row>
    <row r="5" spans="1:9">
      <c r="A5" t="s">
        <v>18</v>
      </c>
      <c r="B5" s="1">
        <v>45568</v>
      </c>
      <c r="C5" t="s">
        <v>8</v>
      </c>
      <c r="D5" t="s">
        <v>9</v>
      </c>
      <c r="E5" t="s">
        <v>10</v>
      </c>
      <c r="F5">
        <v>76</v>
      </c>
      <c r="G5" t="s">
        <v>11</v>
      </c>
      <c r="H5">
        <f>YEAR(tbl_Healthcare[[#This Row],[Visit_Date]])</f>
        <v>2024</v>
      </c>
      <c r="I5" t="str">
        <f>TEXT(tbl_Healthcare[[#This Row],[Visit_Date]],"MMM")</f>
        <v>Oct</v>
      </c>
    </row>
    <row r="6" spans="1:9">
      <c r="A6" t="s">
        <v>19</v>
      </c>
      <c r="B6" s="1">
        <v>45429</v>
      </c>
      <c r="C6" t="s">
        <v>20</v>
      </c>
      <c r="D6" t="s">
        <v>21</v>
      </c>
      <c r="E6" t="s">
        <v>22</v>
      </c>
      <c r="F6">
        <v>71</v>
      </c>
      <c r="G6" t="s">
        <v>23</v>
      </c>
      <c r="H6">
        <f>YEAR(tbl_Healthcare[[#This Row],[Visit_Date]])</f>
        <v>2024</v>
      </c>
      <c r="I6" t="str">
        <f>TEXT(tbl_Healthcare[[#This Row],[Visit_Date]],"MMM")</f>
        <v>May</v>
      </c>
    </row>
    <row r="7" spans="1:9">
      <c r="A7" t="s">
        <v>24</v>
      </c>
      <c r="B7" s="1">
        <v>45432</v>
      </c>
      <c r="C7" t="s">
        <v>25</v>
      </c>
      <c r="D7" t="s">
        <v>26</v>
      </c>
      <c r="E7" t="s">
        <v>10</v>
      </c>
      <c r="F7">
        <v>64</v>
      </c>
      <c r="G7" t="s">
        <v>27</v>
      </c>
      <c r="H7">
        <f>YEAR(tbl_Healthcare[[#This Row],[Visit_Date]])</f>
        <v>2024</v>
      </c>
      <c r="I7" t="str">
        <f>TEXT(tbl_Healthcare[[#This Row],[Visit_Date]],"MMM")</f>
        <v>May</v>
      </c>
    </row>
    <row r="8" spans="1:9">
      <c r="A8" t="s">
        <v>28</v>
      </c>
      <c r="B8" s="1">
        <v>45577</v>
      </c>
      <c r="C8" t="s">
        <v>29</v>
      </c>
      <c r="D8" t="s">
        <v>30</v>
      </c>
      <c r="E8" t="s">
        <v>10</v>
      </c>
      <c r="F8">
        <v>48</v>
      </c>
      <c r="G8" t="s">
        <v>31</v>
      </c>
      <c r="H8">
        <f>YEAR(tbl_Healthcare[[#This Row],[Visit_Date]])</f>
        <v>2024</v>
      </c>
      <c r="I8" t="str">
        <f>TEXT(tbl_Healthcare[[#This Row],[Visit_Date]],"MMM")</f>
        <v>Oct</v>
      </c>
    </row>
    <row r="9" spans="1:9">
      <c r="A9" t="s">
        <v>32</v>
      </c>
      <c r="B9" s="1">
        <v>45610</v>
      </c>
      <c r="C9" t="s">
        <v>33</v>
      </c>
      <c r="D9" t="s">
        <v>34</v>
      </c>
      <c r="E9" t="s">
        <v>10</v>
      </c>
      <c r="F9">
        <v>55</v>
      </c>
      <c r="G9" t="s">
        <v>35</v>
      </c>
      <c r="H9">
        <f>YEAR(tbl_Healthcare[[#This Row],[Visit_Date]])</f>
        <v>2024</v>
      </c>
      <c r="I9" t="str">
        <f>TEXT(tbl_Healthcare[[#This Row],[Visit_Date]],"MMM")</f>
        <v>Nov</v>
      </c>
    </row>
    <row r="10" spans="1:9">
      <c r="A10" t="s">
        <v>36</v>
      </c>
      <c r="B10" s="1">
        <v>45543</v>
      </c>
      <c r="C10" t="s">
        <v>8</v>
      </c>
      <c r="D10" t="s">
        <v>37</v>
      </c>
      <c r="E10" t="s">
        <v>10</v>
      </c>
      <c r="F10">
        <v>38</v>
      </c>
      <c r="G10" t="s">
        <v>11</v>
      </c>
      <c r="H10">
        <f>YEAR(tbl_Healthcare[[#This Row],[Visit_Date]])</f>
        <v>2024</v>
      </c>
      <c r="I10" t="str">
        <f>TEXT(tbl_Healthcare[[#This Row],[Visit_Date]],"MMM")</f>
        <v>Sep</v>
      </c>
    </row>
    <row r="11" spans="1:9">
      <c r="A11" t="s">
        <v>38</v>
      </c>
      <c r="B11" s="1">
        <v>45598</v>
      </c>
      <c r="C11" t="s">
        <v>8</v>
      </c>
      <c r="D11" t="s">
        <v>13</v>
      </c>
      <c r="E11" t="s">
        <v>10</v>
      </c>
      <c r="F11">
        <v>23</v>
      </c>
      <c r="G11" t="s">
        <v>11</v>
      </c>
      <c r="H11">
        <f>YEAR(tbl_Healthcare[[#This Row],[Visit_Date]])</f>
        <v>2024</v>
      </c>
      <c r="I11" t="str">
        <f>TEXT(tbl_Healthcare[[#This Row],[Visit_Date]],"MMM")</f>
        <v>Nov</v>
      </c>
    </row>
    <row r="12" spans="1:9">
      <c r="A12" t="s">
        <v>39</v>
      </c>
      <c r="B12" s="1">
        <v>45548</v>
      </c>
      <c r="C12" t="s">
        <v>40</v>
      </c>
      <c r="D12" t="s">
        <v>41</v>
      </c>
      <c r="E12" t="s">
        <v>22</v>
      </c>
      <c r="F12">
        <v>68</v>
      </c>
      <c r="G12" t="s">
        <v>17</v>
      </c>
      <c r="H12">
        <f>YEAR(tbl_Healthcare[[#This Row],[Visit_Date]])</f>
        <v>2024</v>
      </c>
      <c r="I12" t="str">
        <f>TEXT(tbl_Healthcare[[#This Row],[Visit_Date]],"MMM")</f>
        <v>Sep</v>
      </c>
    </row>
    <row r="13" spans="1:9">
      <c r="A13" t="s">
        <v>42</v>
      </c>
      <c r="B13" s="1">
        <v>45600</v>
      </c>
      <c r="C13" t="s">
        <v>29</v>
      </c>
      <c r="D13" t="s">
        <v>30</v>
      </c>
      <c r="E13" t="s">
        <v>10</v>
      </c>
      <c r="F13">
        <v>36</v>
      </c>
      <c r="G13" t="s">
        <v>31</v>
      </c>
      <c r="H13">
        <f>YEAR(tbl_Healthcare[[#This Row],[Visit_Date]])</f>
        <v>2024</v>
      </c>
      <c r="I13" t="str">
        <f>TEXT(tbl_Healthcare[[#This Row],[Visit_Date]],"MMM")</f>
        <v>Nov</v>
      </c>
    </row>
    <row r="14" spans="1:9">
      <c r="A14" t="s">
        <v>43</v>
      </c>
      <c r="B14" s="1">
        <v>45524</v>
      </c>
      <c r="C14" t="s">
        <v>44</v>
      </c>
      <c r="D14" t="s">
        <v>45</v>
      </c>
      <c r="E14" t="s">
        <v>10</v>
      </c>
      <c r="F14">
        <v>41</v>
      </c>
      <c r="G14" t="s">
        <v>35</v>
      </c>
      <c r="H14">
        <f>YEAR(tbl_Healthcare[[#This Row],[Visit_Date]])</f>
        <v>2024</v>
      </c>
      <c r="I14" t="str">
        <f>TEXT(tbl_Healthcare[[#This Row],[Visit_Date]],"MMM")</f>
        <v>Aug</v>
      </c>
    </row>
    <row r="15" spans="1:9">
      <c r="A15" t="s">
        <v>46</v>
      </c>
      <c r="B15" s="1">
        <v>45328</v>
      </c>
      <c r="C15" t="s">
        <v>44</v>
      </c>
      <c r="D15" t="s">
        <v>47</v>
      </c>
      <c r="E15" t="s">
        <v>22</v>
      </c>
      <c r="F15">
        <v>32</v>
      </c>
      <c r="G15" t="s">
        <v>35</v>
      </c>
      <c r="H15">
        <f>YEAR(tbl_Healthcare[[#This Row],[Visit_Date]])</f>
        <v>2024</v>
      </c>
      <c r="I15" t="str">
        <f>TEXT(tbl_Healthcare[[#This Row],[Visit_Date]],"MMM")</f>
        <v>Feb</v>
      </c>
    </row>
    <row r="16" spans="1:9">
      <c r="A16" t="s">
        <v>48</v>
      </c>
      <c r="B16" s="1">
        <v>45356</v>
      </c>
      <c r="C16" t="s">
        <v>40</v>
      </c>
      <c r="D16" t="s">
        <v>41</v>
      </c>
      <c r="E16" t="s">
        <v>22</v>
      </c>
      <c r="F16">
        <v>61</v>
      </c>
      <c r="G16" t="s">
        <v>17</v>
      </c>
      <c r="H16">
        <f>YEAR(tbl_Healthcare[[#This Row],[Visit_Date]])</f>
        <v>2024</v>
      </c>
      <c r="I16" t="str">
        <f>TEXT(tbl_Healthcare[[#This Row],[Visit_Date]],"MMM")</f>
        <v>Mar</v>
      </c>
    </row>
    <row r="17" spans="1:9">
      <c r="A17" t="s">
        <v>49</v>
      </c>
      <c r="B17" s="1">
        <v>45575</v>
      </c>
      <c r="C17" t="s">
        <v>25</v>
      </c>
      <c r="D17" t="s">
        <v>26</v>
      </c>
      <c r="E17" t="s">
        <v>10</v>
      </c>
      <c r="F17">
        <v>77</v>
      </c>
      <c r="G17" t="s">
        <v>27</v>
      </c>
      <c r="H17">
        <f>YEAR(tbl_Healthcare[[#This Row],[Visit_Date]])</f>
        <v>2024</v>
      </c>
      <c r="I17" t="str">
        <f>TEXT(tbl_Healthcare[[#This Row],[Visit_Date]],"MMM")</f>
        <v>Oct</v>
      </c>
    </row>
    <row r="18" spans="1:9">
      <c r="A18" t="s">
        <v>50</v>
      </c>
      <c r="B18" s="1">
        <v>45632</v>
      </c>
      <c r="C18" t="s">
        <v>51</v>
      </c>
      <c r="D18" t="s">
        <v>37</v>
      </c>
      <c r="E18" t="s">
        <v>10</v>
      </c>
      <c r="F18">
        <v>72</v>
      </c>
      <c r="G18" t="s">
        <v>27</v>
      </c>
      <c r="H18">
        <f>YEAR(tbl_Healthcare[[#This Row],[Visit_Date]])</f>
        <v>2024</v>
      </c>
      <c r="I18" t="str">
        <f>TEXT(tbl_Healthcare[[#This Row],[Visit_Date]],"MMM")</f>
        <v>Dec</v>
      </c>
    </row>
    <row r="19" spans="1:9">
      <c r="A19" t="s">
        <v>52</v>
      </c>
      <c r="B19" s="1">
        <v>45621</v>
      </c>
      <c r="C19" t="s">
        <v>51</v>
      </c>
      <c r="D19" t="s">
        <v>37</v>
      </c>
      <c r="E19" t="s">
        <v>22</v>
      </c>
      <c r="F19">
        <v>51</v>
      </c>
      <c r="G19" t="s">
        <v>27</v>
      </c>
      <c r="H19">
        <f>YEAR(tbl_Healthcare[[#This Row],[Visit_Date]])</f>
        <v>2024</v>
      </c>
      <c r="I19" t="str">
        <f>TEXT(tbl_Healthcare[[#This Row],[Visit_Date]],"MMM")</f>
        <v>Nov</v>
      </c>
    </row>
    <row r="20" spans="1:9">
      <c r="A20" t="s">
        <v>53</v>
      </c>
      <c r="B20" s="1">
        <v>45513</v>
      </c>
      <c r="C20" t="s">
        <v>25</v>
      </c>
      <c r="D20" t="s">
        <v>54</v>
      </c>
      <c r="E20" t="s">
        <v>10</v>
      </c>
      <c r="F20">
        <v>63</v>
      </c>
      <c r="G20" t="s">
        <v>27</v>
      </c>
      <c r="H20">
        <f>YEAR(tbl_Healthcare[[#This Row],[Visit_Date]])</f>
        <v>2024</v>
      </c>
      <c r="I20" t="str">
        <f>TEXT(tbl_Healthcare[[#This Row],[Visit_Date]],"MMM")</f>
        <v>Aug</v>
      </c>
    </row>
    <row r="21" spans="1:9">
      <c r="A21" t="s">
        <v>55</v>
      </c>
      <c r="B21" s="1">
        <v>45407</v>
      </c>
      <c r="C21" t="s">
        <v>8</v>
      </c>
      <c r="D21" t="s">
        <v>56</v>
      </c>
      <c r="E21" t="s">
        <v>10</v>
      </c>
      <c r="F21">
        <v>34</v>
      </c>
      <c r="G21" t="s">
        <v>11</v>
      </c>
      <c r="H21">
        <f>YEAR(tbl_Healthcare[[#This Row],[Visit_Date]])</f>
        <v>2024</v>
      </c>
      <c r="I21" t="str">
        <f>TEXT(tbl_Healthcare[[#This Row],[Visit_Date]],"MMM")</f>
        <v>Apr</v>
      </c>
    </row>
    <row r="22" spans="1:9">
      <c r="A22" t="s">
        <v>57</v>
      </c>
      <c r="B22" s="1">
        <v>45340</v>
      </c>
      <c r="C22" t="s">
        <v>51</v>
      </c>
      <c r="D22" t="s">
        <v>37</v>
      </c>
      <c r="E22" t="s">
        <v>10</v>
      </c>
      <c r="F22">
        <v>34</v>
      </c>
      <c r="G22" t="s">
        <v>27</v>
      </c>
      <c r="H22">
        <f>YEAR(tbl_Healthcare[[#This Row],[Visit_Date]])</f>
        <v>2024</v>
      </c>
      <c r="I22" t="str">
        <f>TEXT(tbl_Healthcare[[#This Row],[Visit_Date]],"MMM")</f>
        <v>Feb</v>
      </c>
    </row>
    <row r="23" spans="1:9">
      <c r="A23" t="s">
        <v>58</v>
      </c>
      <c r="B23" s="1">
        <v>45348</v>
      </c>
      <c r="C23" t="s">
        <v>20</v>
      </c>
      <c r="D23" t="s">
        <v>59</v>
      </c>
      <c r="E23" t="s">
        <v>10</v>
      </c>
      <c r="F23">
        <v>46</v>
      </c>
      <c r="G23" t="s">
        <v>23</v>
      </c>
      <c r="H23">
        <f>YEAR(tbl_Healthcare[[#This Row],[Visit_Date]])</f>
        <v>2024</v>
      </c>
      <c r="I23" t="str">
        <f>TEXT(tbl_Healthcare[[#This Row],[Visit_Date]],"MMM")</f>
        <v>Feb</v>
      </c>
    </row>
    <row r="24" spans="1:9">
      <c r="A24" t="s">
        <v>60</v>
      </c>
      <c r="B24" s="1">
        <v>45389</v>
      </c>
      <c r="C24" t="s">
        <v>25</v>
      </c>
      <c r="D24" t="s">
        <v>54</v>
      </c>
      <c r="E24" t="s">
        <v>61</v>
      </c>
      <c r="F24">
        <v>38</v>
      </c>
      <c r="G24" t="s">
        <v>27</v>
      </c>
      <c r="H24">
        <f>YEAR(tbl_Healthcare[[#This Row],[Visit_Date]])</f>
        <v>2024</v>
      </c>
      <c r="I24" t="str">
        <f>TEXT(tbl_Healthcare[[#This Row],[Visit_Date]],"MMM")</f>
        <v>Apr</v>
      </c>
    </row>
    <row r="25" spans="1:9">
      <c r="A25" t="s">
        <v>62</v>
      </c>
      <c r="B25" s="1">
        <v>45344</v>
      </c>
      <c r="C25" t="s">
        <v>63</v>
      </c>
      <c r="D25" t="s">
        <v>64</v>
      </c>
      <c r="E25" t="s">
        <v>10</v>
      </c>
      <c r="F25">
        <v>48</v>
      </c>
      <c r="G25" t="s">
        <v>65</v>
      </c>
      <c r="H25">
        <f>YEAR(tbl_Healthcare[[#This Row],[Visit_Date]])</f>
        <v>2024</v>
      </c>
      <c r="I25" t="str">
        <f>TEXT(tbl_Healthcare[[#This Row],[Visit_Date]],"MMM")</f>
        <v>Feb</v>
      </c>
    </row>
    <row r="26" spans="1:9">
      <c r="A26" t="s">
        <v>66</v>
      </c>
      <c r="B26" s="1">
        <v>45671</v>
      </c>
      <c r="C26" t="s">
        <v>29</v>
      </c>
      <c r="D26" t="s">
        <v>67</v>
      </c>
      <c r="E26" t="s">
        <v>10</v>
      </c>
      <c r="F26">
        <v>70</v>
      </c>
      <c r="G26" t="s">
        <v>31</v>
      </c>
      <c r="H26">
        <f>YEAR(tbl_Healthcare[[#This Row],[Visit_Date]])</f>
        <v>2025</v>
      </c>
      <c r="I26" t="str">
        <f>TEXT(tbl_Healthcare[[#This Row],[Visit_Date]],"MMM")</f>
        <v>Jan</v>
      </c>
    </row>
    <row r="27" spans="1:9">
      <c r="A27" t="s">
        <v>68</v>
      </c>
      <c r="B27" s="1">
        <v>45641</v>
      </c>
      <c r="C27" t="s">
        <v>51</v>
      </c>
      <c r="D27" t="s">
        <v>69</v>
      </c>
      <c r="E27" t="s">
        <v>22</v>
      </c>
      <c r="F27">
        <v>34</v>
      </c>
      <c r="G27" t="s">
        <v>27</v>
      </c>
      <c r="H27">
        <f>YEAR(tbl_Healthcare[[#This Row],[Visit_Date]])</f>
        <v>2024</v>
      </c>
      <c r="I27" t="str">
        <f>TEXT(tbl_Healthcare[[#This Row],[Visit_Date]],"MMM")</f>
        <v>Dec</v>
      </c>
    </row>
    <row r="28" spans="1:9">
      <c r="A28" t="s">
        <v>70</v>
      </c>
      <c r="B28" s="1">
        <v>45557</v>
      </c>
      <c r="C28" t="s">
        <v>20</v>
      </c>
      <c r="D28" t="s">
        <v>30</v>
      </c>
      <c r="E28" t="s">
        <v>22</v>
      </c>
      <c r="F28">
        <v>60</v>
      </c>
      <c r="G28" t="s">
        <v>23</v>
      </c>
      <c r="H28">
        <f>YEAR(tbl_Healthcare[[#This Row],[Visit_Date]])</f>
        <v>2024</v>
      </c>
      <c r="I28" t="str">
        <f>TEXT(tbl_Healthcare[[#This Row],[Visit_Date]],"MMM")</f>
        <v>Sep</v>
      </c>
    </row>
    <row r="29" spans="1:9">
      <c r="A29" t="s">
        <v>71</v>
      </c>
      <c r="B29" s="1">
        <v>45576</v>
      </c>
      <c r="C29" t="s">
        <v>63</v>
      </c>
      <c r="D29" t="s">
        <v>72</v>
      </c>
      <c r="E29" t="s">
        <v>10</v>
      </c>
      <c r="F29">
        <v>46</v>
      </c>
      <c r="G29" t="s">
        <v>65</v>
      </c>
      <c r="H29">
        <f>YEAR(tbl_Healthcare[[#This Row],[Visit_Date]])</f>
        <v>2024</v>
      </c>
      <c r="I29" t="str">
        <f>TEXT(tbl_Healthcare[[#This Row],[Visit_Date]],"MMM")</f>
        <v>Oct</v>
      </c>
    </row>
    <row r="30" spans="1:9">
      <c r="A30" t="s">
        <v>73</v>
      </c>
      <c r="B30" s="1">
        <v>45356</v>
      </c>
      <c r="C30" t="s">
        <v>33</v>
      </c>
      <c r="D30" t="s">
        <v>34</v>
      </c>
      <c r="E30" t="s">
        <v>22</v>
      </c>
      <c r="F30">
        <v>27</v>
      </c>
      <c r="G30" t="s">
        <v>35</v>
      </c>
      <c r="H30">
        <f>YEAR(tbl_Healthcare[[#This Row],[Visit_Date]])</f>
        <v>2024</v>
      </c>
      <c r="I30" t="str">
        <f>TEXT(tbl_Healthcare[[#This Row],[Visit_Date]],"MMM")</f>
        <v>Mar</v>
      </c>
    </row>
    <row r="31" spans="1:9">
      <c r="A31" t="s">
        <v>74</v>
      </c>
      <c r="B31" s="1">
        <v>45530</v>
      </c>
      <c r="C31" t="s">
        <v>20</v>
      </c>
      <c r="D31" t="s">
        <v>75</v>
      </c>
      <c r="E31" t="s">
        <v>61</v>
      </c>
      <c r="F31">
        <v>69</v>
      </c>
      <c r="G31" t="s">
        <v>23</v>
      </c>
      <c r="H31">
        <f>YEAR(tbl_Healthcare[[#This Row],[Visit_Date]])</f>
        <v>2024</v>
      </c>
      <c r="I31" t="str">
        <f>TEXT(tbl_Healthcare[[#This Row],[Visit_Date]],"MMM")</f>
        <v>Aug</v>
      </c>
    </row>
    <row r="32" spans="1:9">
      <c r="A32" t="s">
        <v>76</v>
      </c>
      <c r="B32" s="1">
        <v>45406</v>
      </c>
      <c r="C32" t="s">
        <v>15</v>
      </c>
      <c r="D32" t="s">
        <v>77</v>
      </c>
      <c r="E32" t="s">
        <v>22</v>
      </c>
      <c r="F32">
        <v>69</v>
      </c>
      <c r="G32" t="s">
        <v>17</v>
      </c>
      <c r="H32">
        <f>YEAR(tbl_Healthcare[[#This Row],[Visit_Date]])</f>
        <v>2024</v>
      </c>
      <c r="I32" t="str">
        <f>TEXT(tbl_Healthcare[[#This Row],[Visit_Date]],"MMM")</f>
        <v>Apr</v>
      </c>
    </row>
    <row r="33" spans="1:9">
      <c r="A33" t="s">
        <v>78</v>
      </c>
      <c r="B33" s="1">
        <v>45384</v>
      </c>
      <c r="C33" t="s">
        <v>33</v>
      </c>
      <c r="D33" t="s">
        <v>34</v>
      </c>
      <c r="E33" t="s">
        <v>10</v>
      </c>
      <c r="F33">
        <v>69</v>
      </c>
      <c r="G33" t="s">
        <v>35</v>
      </c>
      <c r="H33">
        <f>YEAR(tbl_Healthcare[[#This Row],[Visit_Date]])</f>
        <v>2024</v>
      </c>
      <c r="I33" t="str">
        <f>TEXT(tbl_Healthcare[[#This Row],[Visit_Date]],"MMM")</f>
        <v>Apr</v>
      </c>
    </row>
    <row r="34" spans="1:9">
      <c r="A34" t="s">
        <v>79</v>
      </c>
      <c r="B34" s="1">
        <v>45304</v>
      </c>
      <c r="C34" t="s">
        <v>40</v>
      </c>
      <c r="D34" t="s">
        <v>41</v>
      </c>
      <c r="E34" t="s">
        <v>22</v>
      </c>
      <c r="F34">
        <v>27</v>
      </c>
      <c r="G34" t="s">
        <v>17</v>
      </c>
      <c r="H34">
        <f>YEAR(tbl_Healthcare[[#This Row],[Visit_Date]])</f>
        <v>2024</v>
      </c>
      <c r="I34" t="str">
        <f>TEXT(tbl_Healthcare[[#This Row],[Visit_Date]],"MMM")</f>
        <v>Jan</v>
      </c>
    </row>
    <row r="35" spans="1:9">
      <c r="A35" t="s">
        <v>80</v>
      </c>
      <c r="B35" s="1">
        <v>45605</v>
      </c>
      <c r="C35" t="s">
        <v>15</v>
      </c>
      <c r="D35" t="s">
        <v>81</v>
      </c>
      <c r="E35" t="s">
        <v>10</v>
      </c>
      <c r="F35">
        <v>36</v>
      </c>
      <c r="G35" t="s">
        <v>17</v>
      </c>
      <c r="H35">
        <f>YEAR(tbl_Healthcare[[#This Row],[Visit_Date]])</f>
        <v>2024</v>
      </c>
      <c r="I35" t="str">
        <f>TEXT(tbl_Healthcare[[#This Row],[Visit_Date]],"MMM")</f>
        <v>Nov</v>
      </c>
    </row>
    <row r="36" spans="1:9">
      <c r="A36" t="s">
        <v>82</v>
      </c>
      <c r="B36" s="1">
        <v>45508</v>
      </c>
      <c r="C36" t="s">
        <v>15</v>
      </c>
      <c r="D36" t="s">
        <v>83</v>
      </c>
      <c r="E36" t="s">
        <v>61</v>
      </c>
      <c r="F36">
        <v>66</v>
      </c>
      <c r="G36" t="s">
        <v>17</v>
      </c>
      <c r="H36">
        <f>YEAR(tbl_Healthcare[[#This Row],[Visit_Date]])</f>
        <v>2024</v>
      </c>
      <c r="I36" t="str">
        <f>TEXT(tbl_Healthcare[[#This Row],[Visit_Date]],"MMM")</f>
        <v>Aug</v>
      </c>
    </row>
    <row r="37" spans="1:9">
      <c r="A37" t="s">
        <v>84</v>
      </c>
      <c r="B37" s="1">
        <v>45339</v>
      </c>
      <c r="C37" t="s">
        <v>25</v>
      </c>
      <c r="D37" t="s">
        <v>54</v>
      </c>
      <c r="E37" t="s">
        <v>22</v>
      </c>
      <c r="F37">
        <v>43</v>
      </c>
      <c r="G37" t="s">
        <v>27</v>
      </c>
      <c r="H37">
        <f>YEAR(tbl_Healthcare[[#This Row],[Visit_Date]])</f>
        <v>2024</v>
      </c>
      <c r="I37" t="str">
        <f>TEXT(tbl_Healthcare[[#This Row],[Visit_Date]],"MMM")</f>
        <v>Feb</v>
      </c>
    </row>
    <row r="38" spans="1:9">
      <c r="A38" t="s">
        <v>85</v>
      </c>
      <c r="B38" s="1">
        <v>45657</v>
      </c>
      <c r="C38" t="s">
        <v>33</v>
      </c>
      <c r="D38" t="s">
        <v>86</v>
      </c>
      <c r="E38" t="s">
        <v>22</v>
      </c>
      <c r="F38">
        <v>70</v>
      </c>
      <c r="G38" t="s">
        <v>35</v>
      </c>
      <c r="H38">
        <f>YEAR(tbl_Healthcare[[#This Row],[Visit_Date]])</f>
        <v>2024</v>
      </c>
      <c r="I38" t="str">
        <f>TEXT(tbl_Healthcare[[#This Row],[Visit_Date]],"MMM")</f>
        <v>Dec</v>
      </c>
    </row>
    <row r="39" spans="1:9">
      <c r="A39" t="s">
        <v>87</v>
      </c>
      <c r="B39" s="1">
        <v>45484</v>
      </c>
      <c r="C39" t="s">
        <v>44</v>
      </c>
      <c r="D39" t="s">
        <v>88</v>
      </c>
      <c r="E39" t="s">
        <v>22</v>
      </c>
      <c r="F39">
        <v>50</v>
      </c>
      <c r="G39" t="s">
        <v>35</v>
      </c>
      <c r="H39">
        <f>YEAR(tbl_Healthcare[[#This Row],[Visit_Date]])</f>
        <v>2024</v>
      </c>
      <c r="I39" t="str">
        <f>TEXT(tbl_Healthcare[[#This Row],[Visit_Date]],"MMM")</f>
        <v>Jul</v>
      </c>
    </row>
    <row r="40" spans="1:9">
      <c r="A40" t="s">
        <v>89</v>
      </c>
      <c r="B40" s="1">
        <v>45313</v>
      </c>
      <c r="C40" t="s">
        <v>8</v>
      </c>
      <c r="D40" t="s">
        <v>13</v>
      </c>
      <c r="E40" t="s">
        <v>22</v>
      </c>
      <c r="F40">
        <v>79</v>
      </c>
      <c r="G40" t="s">
        <v>11</v>
      </c>
      <c r="H40">
        <f>YEAR(tbl_Healthcare[[#This Row],[Visit_Date]])</f>
        <v>2024</v>
      </c>
      <c r="I40" t="str">
        <f>TEXT(tbl_Healthcare[[#This Row],[Visit_Date]],"MMM")</f>
        <v>Jan</v>
      </c>
    </row>
    <row r="41" spans="1:9">
      <c r="A41" t="s">
        <v>90</v>
      </c>
      <c r="B41" s="1">
        <v>45387</v>
      </c>
      <c r="C41" t="s">
        <v>63</v>
      </c>
      <c r="D41" t="s">
        <v>72</v>
      </c>
      <c r="E41" t="s">
        <v>22</v>
      </c>
      <c r="F41">
        <v>48</v>
      </c>
      <c r="G41" t="s">
        <v>65</v>
      </c>
      <c r="H41">
        <f>YEAR(tbl_Healthcare[[#This Row],[Visit_Date]])</f>
        <v>2024</v>
      </c>
      <c r="I41" t="str">
        <f>TEXT(tbl_Healthcare[[#This Row],[Visit_Date]],"MMM")</f>
        <v>Apr</v>
      </c>
    </row>
    <row r="42" spans="1:9">
      <c r="A42" t="s">
        <v>91</v>
      </c>
      <c r="B42" s="1">
        <v>45437</v>
      </c>
      <c r="C42" t="s">
        <v>44</v>
      </c>
      <c r="D42" t="s">
        <v>88</v>
      </c>
      <c r="E42" t="s">
        <v>10</v>
      </c>
      <c r="F42">
        <v>76</v>
      </c>
      <c r="G42" t="s">
        <v>35</v>
      </c>
      <c r="H42">
        <f>YEAR(tbl_Healthcare[[#This Row],[Visit_Date]])</f>
        <v>2024</v>
      </c>
      <c r="I42" t="str">
        <f>TEXT(tbl_Healthcare[[#This Row],[Visit_Date]],"MMM")</f>
        <v>May</v>
      </c>
    </row>
    <row r="43" spans="1:9">
      <c r="A43" t="s">
        <v>92</v>
      </c>
      <c r="B43" s="1">
        <v>45298</v>
      </c>
      <c r="C43" t="s">
        <v>40</v>
      </c>
      <c r="D43" t="s">
        <v>93</v>
      </c>
      <c r="E43" t="s">
        <v>22</v>
      </c>
      <c r="F43">
        <v>59</v>
      </c>
      <c r="G43" t="s">
        <v>17</v>
      </c>
      <c r="H43">
        <f>YEAR(tbl_Healthcare[[#This Row],[Visit_Date]])</f>
        <v>2024</v>
      </c>
      <c r="I43" t="str">
        <f>TEXT(tbl_Healthcare[[#This Row],[Visit_Date]],"MMM")</f>
        <v>Jan</v>
      </c>
    </row>
    <row r="44" spans="1:9">
      <c r="A44" t="s">
        <v>94</v>
      </c>
      <c r="B44" s="1">
        <v>45296</v>
      </c>
      <c r="C44" t="s">
        <v>20</v>
      </c>
      <c r="D44" t="s">
        <v>30</v>
      </c>
      <c r="E44" t="s">
        <v>61</v>
      </c>
      <c r="F44">
        <v>79</v>
      </c>
      <c r="G44" t="s">
        <v>23</v>
      </c>
      <c r="H44">
        <f>YEAR(tbl_Healthcare[[#This Row],[Visit_Date]])</f>
        <v>2024</v>
      </c>
      <c r="I44" t="str">
        <f>TEXT(tbl_Healthcare[[#This Row],[Visit_Date]],"MMM")</f>
        <v>Jan</v>
      </c>
    </row>
    <row r="45" spans="1:9">
      <c r="A45" t="s">
        <v>95</v>
      </c>
      <c r="B45" s="1">
        <v>45443</v>
      </c>
      <c r="C45" t="s">
        <v>20</v>
      </c>
      <c r="D45" t="s">
        <v>59</v>
      </c>
      <c r="E45" t="s">
        <v>22</v>
      </c>
      <c r="F45">
        <v>44</v>
      </c>
      <c r="G45" t="s">
        <v>23</v>
      </c>
      <c r="H45">
        <f>YEAR(tbl_Healthcare[[#This Row],[Visit_Date]])</f>
        <v>2024</v>
      </c>
      <c r="I45" t="str">
        <f>TEXT(tbl_Healthcare[[#This Row],[Visit_Date]],"MMM")</f>
        <v>May</v>
      </c>
    </row>
    <row r="46" spans="1:9">
      <c r="A46" t="s">
        <v>96</v>
      </c>
      <c r="B46" s="1">
        <v>45648</v>
      </c>
      <c r="C46" t="s">
        <v>40</v>
      </c>
      <c r="D46" t="s">
        <v>41</v>
      </c>
      <c r="E46" t="s">
        <v>10</v>
      </c>
      <c r="F46">
        <v>66</v>
      </c>
      <c r="G46" t="s">
        <v>17</v>
      </c>
      <c r="H46">
        <f>YEAR(tbl_Healthcare[[#This Row],[Visit_Date]])</f>
        <v>2024</v>
      </c>
      <c r="I46" t="str">
        <f>TEXT(tbl_Healthcare[[#This Row],[Visit_Date]],"MMM")</f>
        <v>Dec</v>
      </c>
    </row>
    <row r="47" spans="1:9">
      <c r="A47" t="s">
        <v>97</v>
      </c>
      <c r="B47" s="1">
        <v>45333</v>
      </c>
      <c r="C47" t="s">
        <v>44</v>
      </c>
      <c r="D47" t="s">
        <v>88</v>
      </c>
      <c r="E47" t="s">
        <v>10</v>
      </c>
      <c r="F47">
        <v>62</v>
      </c>
      <c r="G47" t="s">
        <v>35</v>
      </c>
      <c r="H47">
        <f>YEAR(tbl_Healthcare[[#This Row],[Visit_Date]])</f>
        <v>2024</v>
      </c>
      <c r="I47" t="str">
        <f>TEXT(tbl_Healthcare[[#This Row],[Visit_Date]],"MMM")</f>
        <v>Feb</v>
      </c>
    </row>
    <row r="48" spans="1:9">
      <c r="A48" t="s">
        <v>98</v>
      </c>
      <c r="B48" s="1">
        <v>45397</v>
      </c>
      <c r="C48" t="s">
        <v>15</v>
      </c>
      <c r="D48" t="s">
        <v>16</v>
      </c>
      <c r="E48" t="s">
        <v>10</v>
      </c>
      <c r="F48">
        <v>76</v>
      </c>
      <c r="G48" t="s">
        <v>17</v>
      </c>
      <c r="H48">
        <f>YEAR(tbl_Healthcare[[#This Row],[Visit_Date]])</f>
        <v>2024</v>
      </c>
      <c r="I48" t="str">
        <f>TEXT(tbl_Healthcare[[#This Row],[Visit_Date]],"MMM")</f>
        <v>Apr</v>
      </c>
    </row>
    <row r="49" spans="1:9">
      <c r="A49" t="s">
        <v>99</v>
      </c>
      <c r="B49" s="1">
        <v>45447</v>
      </c>
      <c r="C49" t="s">
        <v>25</v>
      </c>
      <c r="D49" t="s">
        <v>54</v>
      </c>
      <c r="E49" t="s">
        <v>22</v>
      </c>
      <c r="F49">
        <v>72</v>
      </c>
      <c r="G49" t="s">
        <v>27</v>
      </c>
      <c r="H49">
        <f>YEAR(tbl_Healthcare[[#This Row],[Visit_Date]])</f>
        <v>2024</v>
      </c>
      <c r="I49" t="str">
        <f>TEXT(tbl_Healthcare[[#This Row],[Visit_Date]],"MMM")</f>
        <v>Jun</v>
      </c>
    </row>
    <row r="50" spans="1:9">
      <c r="A50" t="s">
        <v>100</v>
      </c>
      <c r="B50" s="1">
        <v>45320</v>
      </c>
      <c r="C50" t="s">
        <v>51</v>
      </c>
      <c r="D50" t="s">
        <v>69</v>
      </c>
      <c r="E50" t="s">
        <v>10</v>
      </c>
      <c r="F50">
        <v>52</v>
      </c>
      <c r="G50" t="s">
        <v>27</v>
      </c>
      <c r="H50">
        <f>YEAR(tbl_Healthcare[[#This Row],[Visit_Date]])</f>
        <v>2024</v>
      </c>
      <c r="I50" t="str">
        <f>TEXT(tbl_Healthcare[[#This Row],[Visit_Date]],"MMM")</f>
        <v>Jan</v>
      </c>
    </row>
    <row r="51" spans="1:9">
      <c r="A51" t="s">
        <v>101</v>
      </c>
      <c r="B51" s="1">
        <v>45501</v>
      </c>
      <c r="C51" t="s">
        <v>63</v>
      </c>
      <c r="D51" t="s">
        <v>102</v>
      </c>
      <c r="E51" t="s">
        <v>10</v>
      </c>
      <c r="F51">
        <v>47</v>
      </c>
      <c r="G51" t="s">
        <v>65</v>
      </c>
      <c r="H51">
        <f>YEAR(tbl_Healthcare[[#This Row],[Visit_Date]])</f>
        <v>2024</v>
      </c>
      <c r="I51" t="str">
        <f>TEXT(tbl_Healthcare[[#This Row],[Visit_Date]],"MMM")</f>
        <v>Jul</v>
      </c>
    </row>
    <row r="52" spans="1:9">
      <c r="A52" t="s">
        <v>103</v>
      </c>
      <c r="B52" s="1">
        <v>45509</v>
      </c>
      <c r="C52" t="s">
        <v>63</v>
      </c>
      <c r="D52" t="s">
        <v>104</v>
      </c>
      <c r="E52" t="s">
        <v>22</v>
      </c>
      <c r="F52">
        <v>26</v>
      </c>
      <c r="G52" t="s">
        <v>65</v>
      </c>
      <c r="H52">
        <f>YEAR(tbl_Healthcare[[#This Row],[Visit_Date]])</f>
        <v>2024</v>
      </c>
      <c r="I52" t="str">
        <f>TEXT(tbl_Healthcare[[#This Row],[Visit_Date]],"MMM")</f>
        <v>Aug</v>
      </c>
    </row>
    <row r="53" spans="1:9">
      <c r="A53" t="s">
        <v>105</v>
      </c>
      <c r="B53" s="1">
        <v>45445</v>
      </c>
      <c r="C53" t="s">
        <v>25</v>
      </c>
      <c r="D53" t="s">
        <v>26</v>
      </c>
      <c r="E53" t="s">
        <v>10</v>
      </c>
      <c r="F53">
        <v>57</v>
      </c>
      <c r="G53" t="s">
        <v>27</v>
      </c>
      <c r="H53">
        <f>YEAR(tbl_Healthcare[[#This Row],[Visit_Date]])</f>
        <v>2024</v>
      </c>
      <c r="I53" t="str">
        <f>TEXT(tbl_Healthcare[[#This Row],[Visit_Date]],"MMM")</f>
        <v>Jun</v>
      </c>
    </row>
    <row r="54" spans="1:9">
      <c r="A54" t="s">
        <v>106</v>
      </c>
      <c r="B54" s="1">
        <v>45628</v>
      </c>
      <c r="C54" t="s">
        <v>63</v>
      </c>
      <c r="D54" t="s">
        <v>102</v>
      </c>
      <c r="E54" t="s">
        <v>22</v>
      </c>
      <c r="F54">
        <v>45</v>
      </c>
      <c r="G54" t="s">
        <v>65</v>
      </c>
      <c r="H54">
        <f>YEAR(tbl_Healthcare[[#This Row],[Visit_Date]])</f>
        <v>2024</v>
      </c>
      <c r="I54" t="str">
        <f>TEXT(tbl_Healthcare[[#This Row],[Visit_Date]],"MMM")</f>
        <v>Dec</v>
      </c>
    </row>
    <row r="55" spans="1:9">
      <c r="A55" t="s">
        <v>107</v>
      </c>
      <c r="B55" s="1">
        <v>45534</v>
      </c>
      <c r="C55" t="s">
        <v>8</v>
      </c>
      <c r="D55" t="s">
        <v>56</v>
      </c>
      <c r="E55" t="s">
        <v>10</v>
      </c>
      <c r="F55">
        <v>70</v>
      </c>
      <c r="G55" t="s">
        <v>11</v>
      </c>
      <c r="H55">
        <f>YEAR(tbl_Healthcare[[#This Row],[Visit_Date]])</f>
        <v>2024</v>
      </c>
      <c r="I55" t="str">
        <f>TEXT(tbl_Healthcare[[#This Row],[Visit_Date]],"MMM")</f>
        <v>Aug</v>
      </c>
    </row>
    <row r="56" spans="1:9">
      <c r="A56" t="s">
        <v>108</v>
      </c>
      <c r="B56" s="1">
        <v>45597</v>
      </c>
      <c r="C56" t="s">
        <v>33</v>
      </c>
      <c r="D56" t="s">
        <v>109</v>
      </c>
      <c r="E56" t="s">
        <v>10</v>
      </c>
      <c r="F56">
        <v>26</v>
      </c>
      <c r="G56" t="s">
        <v>35</v>
      </c>
      <c r="H56">
        <f>YEAR(tbl_Healthcare[[#This Row],[Visit_Date]])</f>
        <v>2024</v>
      </c>
      <c r="I56" t="str">
        <f>TEXT(tbl_Healthcare[[#This Row],[Visit_Date]],"MMM")</f>
        <v>Nov</v>
      </c>
    </row>
    <row r="57" spans="1:9">
      <c r="A57" t="s">
        <v>110</v>
      </c>
      <c r="B57" s="1">
        <v>45637</v>
      </c>
      <c r="C57" t="s">
        <v>25</v>
      </c>
      <c r="D57" t="s">
        <v>111</v>
      </c>
      <c r="E57" t="s">
        <v>10</v>
      </c>
      <c r="F57">
        <v>72</v>
      </c>
      <c r="G57" t="s">
        <v>27</v>
      </c>
      <c r="H57">
        <f>YEAR(tbl_Healthcare[[#This Row],[Visit_Date]])</f>
        <v>2024</v>
      </c>
      <c r="I57" t="str">
        <f>TEXT(tbl_Healthcare[[#This Row],[Visit_Date]],"MMM")</f>
        <v>Dec</v>
      </c>
    </row>
    <row r="58" spans="1:9">
      <c r="A58" t="s">
        <v>112</v>
      </c>
      <c r="B58" s="1">
        <v>45459</v>
      </c>
      <c r="C58" t="s">
        <v>63</v>
      </c>
      <c r="D58" t="s">
        <v>102</v>
      </c>
      <c r="E58" t="s">
        <v>22</v>
      </c>
      <c r="F58">
        <v>23</v>
      </c>
      <c r="G58" t="s">
        <v>65</v>
      </c>
      <c r="H58">
        <f>YEAR(tbl_Healthcare[[#This Row],[Visit_Date]])</f>
        <v>2024</v>
      </c>
      <c r="I58" t="str">
        <f>TEXT(tbl_Healthcare[[#This Row],[Visit_Date]],"MMM")</f>
        <v>Jun</v>
      </c>
    </row>
    <row r="59" spans="1:9">
      <c r="A59" t="s">
        <v>113</v>
      </c>
      <c r="B59" s="1">
        <v>45469</v>
      </c>
      <c r="C59" t="s">
        <v>40</v>
      </c>
      <c r="D59" t="s">
        <v>93</v>
      </c>
      <c r="E59" t="s">
        <v>10</v>
      </c>
      <c r="F59">
        <v>20</v>
      </c>
      <c r="G59" t="s">
        <v>17</v>
      </c>
      <c r="H59">
        <f>YEAR(tbl_Healthcare[[#This Row],[Visit_Date]])</f>
        <v>2024</v>
      </c>
      <c r="I59" t="str">
        <f>TEXT(tbl_Healthcare[[#This Row],[Visit_Date]],"MMM")</f>
        <v>Jun</v>
      </c>
    </row>
    <row r="60" spans="1:9">
      <c r="A60" t="s">
        <v>114</v>
      </c>
      <c r="B60" s="1">
        <v>45649</v>
      </c>
      <c r="C60" t="s">
        <v>25</v>
      </c>
      <c r="D60" t="s">
        <v>54</v>
      </c>
      <c r="E60" t="s">
        <v>22</v>
      </c>
      <c r="F60">
        <v>30</v>
      </c>
      <c r="G60" t="s">
        <v>27</v>
      </c>
      <c r="H60">
        <f>YEAR(tbl_Healthcare[[#This Row],[Visit_Date]])</f>
        <v>2024</v>
      </c>
      <c r="I60" t="str">
        <f>TEXT(tbl_Healthcare[[#This Row],[Visit_Date]],"MMM")</f>
        <v>Dec</v>
      </c>
    </row>
    <row r="61" spans="1:9">
      <c r="A61" t="s">
        <v>115</v>
      </c>
      <c r="B61" s="1">
        <v>45641</v>
      </c>
      <c r="C61" t="s">
        <v>51</v>
      </c>
      <c r="D61" t="s">
        <v>69</v>
      </c>
      <c r="E61" t="s">
        <v>10</v>
      </c>
      <c r="F61">
        <v>67</v>
      </c>
      <c r="G61" t="s">
        <v>27</v>
      </c>
      <c r="H61">
        <f>YEAR(tbl_Healthcare[[#This Row],[Visit_Date]])</f>
        <v>2024</v>
      </c>
      <c r="I61" t="str">
        <f>TEXT(tbl_Healthcare[[#This Row],[Visit_Date]],"MMM")</f>
        <v>Dec</v>
      </c>
    </row>
    <row r="62" spans="1:9">
      <c r="A62" t="s">
        <v>116</v>
      </c>
      <c r="B62" s="1">
        <v>45612</v>
      </c>
      <c r="C62" t="s">
        <v>25</v>
      </c>
      <c r="D62" t="s">
        <v>54</v>
      </c>
      <c r="E62" t="s">
        <v>10</v>
      </c>
      <c r="F62">
        <v>58</v>
      </c>
      <c r="G62" t="s">
        <v>27</v>
      </c>
      <c r="H62">
        <f>YEAR(tbl_Healthcare[[#This Row],[Visit_Date]])</f>
        <v>2024</v>
      </c>
      <c r="I62" t="str">
        <f>TEXT(tbl_Healthcare[[#This Row],[Visit_Date]],"MMM")</f>
        <v>Nov</v>
      </c>
    </row>
    <row r="63" spans="1:9">
      <c r="A63" t="s">
        <v>117</v>
      </c>
      <c r="B63" s="1">
        <v>45360</v>
      </c>
      <c r="C63" t="s">
        <v>25</v>
      </c>
      <c r="D63" t="s">
        <v>111</v>
      </c>
      <c r="E63" t="s">
        <v>10</v>
      </c>
      <c r="F63">
        <v>76</v>
      </c>
      <c r="G63" t="s">
        <v>27</v>
      </c>
      <c r="H63">
        <f>YEAR(tbl_Healthcare[[#This Row],[Visit_Date]])</f>
        <v>2024</v>
      </c>
      <c r="I63" t="str">
        <f>TEXT(tbl_Healthcare[[#This Row],[Visit_Date]],"MMM")</f>
        <v>Mar</v>
      </c>
    </row>
    <row r="64" spans="1:9">
      <c r="A64" t="s">
        <v>118</v>
      </c>
      <c r="B64" s="1">
        <v>45444</v>
      </c>
      <c r="C64" t="s">
        <v>44</v>
      </c>
      <c r="D64" t="s">
        <v>88</v>
      </c>
      <c r="E64" t="s">
        <v>10</v>
      </c>
      <c r="F64">
        <v>71</v>
      </c>
      <c r="G64" t="s">
        <v>35</v>
      </c>
      <c r="H64">
        <f>YEAR(tbl_Healthcare[[#This Row],[Visit_Date]])</f>
        <v>2024</v>
      </c>
      <c r="I64" t="str">
        <f>TEXT(tbl_Healthcare[[#This Row],[Visit_Date]],"MMM")</f>
        <v>Jun</v>
      </c>
    </row>
    <row r="65" spans="1:9">
      <c r="A65" t="s">
        <v>119</v>
      </c>
      <c r="B65" s="1">
        <v>45442</v>
      </c>
      <c r="C65" t="s">
        <v>44</v>
      </c>
      <c r="D65" t="s">
        <v>45</v>
      </c>
      <c r="E65" t="s">
        <v>10</v>
      </c>
      <c r="F65">
        <v>72</v>
      </c>
      <c r="G65" t="s">
        <v>35</v>
      </c>
      <c r="H65">
        <f>YEAR(tbl_Healthcare[[#This Row],[Visit_Date]])</f>
        <v>2024</v>
      </c>
      <c r="I65" t="str">
        <f>TEXT(tbl_Healthcare[[#This Row],[Visit_Date]],"MMM")</f>
        <v>May</v>
      </c>
    </row>
    <row r="66" spans="1:9">
      <c r="A66" t="s">
        <v>120</v>
      </c>
      <c r="B66" s="1">
        <v>45579</v>
      </c>
      <c r="C66" t="s">
        <v>33</v>
      </c>
      <c r="D66" t="s">
        <v>86</v>
      </c>
      <c r="E66" t="s">
        <v>61</v>
      </c>
      <c r="F66">
        <v>55</v>
      </c>
      <c r="G66" t="s">
        <v>35</v>
      </c>
      <c r="H66">
        <f>YEAR(tbl_Healthcare[[#This Row],[Visit_Date]])</f>
        <v>2024</v>
      </c>
      <c r="I66" t="str">
        <f>TEXT(tbl_Healthcare[[#This Row],[Visit_Date]],"MMM")</f>
        <v>Oct</v>
      </c>
    </row>
    <row r="67" spans="1:9">
      <c r="A67" t="s">
        <v>121</v>
      </c>
      <c r="B67" s="1">
        <v>45676</v>
      </c>
      <c r="C67" t="s">
        <v>15</v>
      </c>
      <c r="D67" t="s">
        <v>16</v>
      </c>
      <c r="E67" t="s">
        <v>22</v>
      </c>
      <c r="F67">
        <v>26</v>
      </c>
      <c r="G67" t="s">
        <v>17</v>
      </c>
      <c r="H67">
        <f>YEAR(tbl_Healthcare[[#This Row],[Visit_Date]])</f>
        <v>2025</v>
      </c>
      <c r="I67" t="str">
        <f>TEXT(tbl_Healthcare[[#This Row],[Visit_Date]],"MMM")</f>
        <v>Jan</v>
      </c>
    </row>
    <row r="68" spans="1:9">
      <c r="A68" t="s">
        <v>122</v>
      </c>
      <c r="B68" s="1">
        <v>45660</v>
      </c>
      <c r="C68" t="s">
        <v>33</v>
      </c>
      <c r="D68" t="s">
        <v>86</v>
      </c>
      <c r="E68" t="s">
        <v>22</v>
      </c>
      <c r="F68">
        <v>41</v>
      </c>
      <c r="G68" t="s">
        <v>35</v>
      </c>
      <c r="H68">
        <f>YEAR(tbl_Healthcare[[#This Row],[Visit_Date]])</f>
        <v>2025</v>
      </c>
      <c r="I68" t="str">
        <f>TEXT(tbl_Healthcare[[#This Row],[Visit_Date]],"MMM")</f>
        <v>Jan</v>
      </c>
    </row>
    <row r="69" spans="1:9">
      <c r="A69" t="s">
        <v>123</v>
      </c>
      <c r="B69" s="1">
        <v>45501</v>
      </c>
      <c r="C69" t="s">
        <v>40</v>
      </c>
      <c r="D69" t="s">
        <v>124</v>
      </c>
      <c r="E69" t="s">
        <v>10</v>
      </c>
      <c r="F69">
        <v>72</v>
      </c>
      <c r="G69" t="s">
        <v>17</v>
      </c>
      <c r="H69">
        <f>YEAR(tbl_Healthcare[[#This Row],[Visit_Date]])</f>
        <v>2024</v>
      </c>
      <c r="I69" t="str">
        <f>TEXT(tbl_Healthcare[[#This Row],[Visit_Date]],"MMM")</f>
        <v>Jul</v>
      </c>
    </row>
    <row r="70" spans="1:9">
      <c r="A70" t="s">
        <v>125</v>
      </c>
      <c r="B70" s="1">
        <v>45455</v>
      </c>
      <c r="C70" t="s">
        <v>15</v>
      </c>
      <c r="D70" t="s">
        <v>16</v>
      </c>
      <c r="E70" t="s">
        <v>10</v>
      </c>
      <c r="F70">
        <v>64</v>
      </c>
      <c r="G70" t="s">
        <v>17</v>
      </c>
      <c r="H70">
        <f>YEAR(tbl_Healthcare[[#This Row],[Visit_Date]])</f>
        <v>2024</v>
      </c>
      <c r="I70" t="str">
        <f>TEXT(tbl_Healthcare[[#This Row],[Visit_Date]],"MMM")</f>
        <v>Jun</v>
      </c>
    </row>
    <row r="71" spans="1:9">
      <c r="A71" t="s">
        <v>126</v>
      </c>
      <c r="B71" s="1">
        <v>45526</v>
      </c>
      <c r="C71" t="s">
        <v>8</v>
      </c>
      <c r="D71" t="s">
        <v>56</v>
      </c>
      <c r="E71" t="s">
        <v>10</v>
      </c>
      <c r="F71">
        <v>66</v>
      </c>
      <c r="G71" t="s">
        <v>11</v>
      </c>
      <c r="H71">
        <f>YEAR(tbl_Healthcare[[#This Row],[Visit_Date]])</f>
        <v>2024</v>
      </c>
      <c r="I71" t="str">
        <f>TEXT(tbl_Healthcare[[#This Row],[Visit_Date]],"MMM")</f>
        <v>Aug</v>
      </c>
    </row>
    <row r="72" spans="1:9">
      <c r="A72" t="s">
        <v>127</v>
      </c>
      <c r="B72" s="1">
        <v>45630</v>
      </c>
      <c r="C72" t="s">
        <v>20</v>
      </c>
      <c r="D72" t="s">
        <v>30</v>
      </c>
      <c r="E72" t="s">
        <v>10</v>
      </c>
      <c r="F72">
        <v>40</v>
      </c>
      <c r="G72" t="s">
        <v>23</v>
      </c>
      <c r="H72">
        <f>YEAR(tbl_Healthcare[[#This Row],[Visit_Date]])</f>
        <v>2024</v>
      </c>
      <c r="I72" t="str">
        <f>TEXT(tbl_Healthcare[[#This Row],[Visit_Date]],"MMM")</f>
        <v>Dec</v>
      </c>
    </row>
    <row r="73" spans="1:9">
      <c r="A73" t="s">
        <v>128</v>
      </c>
      <c r="B73" s="1">
        <v>45616</v>
      </c>
      <c r="C73" t="s">
        <v>15</v>
      </c>
      <c r="D73" t="s">
        <v>83</v>
      </c>
      <c r="E73" t="s">
        <v>10</v>
      </c>
      <c r="F73">
        <v>26</v>
      </c>
      <c r="G73" t="s">
        <v>17</v>
      </c>
      <c r="H73">
        <f>YEAR(tbl_Healthcare[[#This Row],[Visit_Date]])</f>
        <v>2024</v>
      </c>
      <c r="I73" t="str">
        <f>TEXT(tbl_Healthcare[[#This Row],[Visit_Date]],"MMM")</f>
        <v>Nov</v>
      </c>
    </row>
    <row r="74" spans="1:9">
      <c r="A74" t="s">
        <v>129</v>
      </c>
      <c r="B74" s="1">
        <v>45427</v>
      </c>
      <c r="C74" t="s">
        <v>40</v>
      </c>
      <c r="D74" t="s">
        <v>93</v>
      </c>
      <c r="E74" t="s">
        <v>10</v>
      </c>
      <c r="F74">
        <v>58</v>
      </c>
      <c r="G74" t="s">
        <v>17</v>
      </c>
      <c r="H74">
        <f>YEAR(tbl_Healthcare[[#This Row],[Visit_Date]])</f>
        <v>2024</v>
      </c>
      <c r="I74" t="str">
        <f>TEXT(tbl_Healthcare[[#This Row],[Visit_Date]],"MMM")</f>
        <v>May</v>
      </c>
    </row>
    <row r="75" spans="1:9">
      <c r="A75" t="s">
        <v>130</v>
      </c>
      <c r="B75" s="1">
        <v>45306</v>
      </c>
      <c r="C75" t="s">
        <v>33</v>
      </c>
      <c r="D75" t="s">
        <v>109</v>
      </c>
      <c r="E75" t="s">
        <v>61</v>
      </c>
      <c r="F75">
        <v>75</v>
      </c>
      <c r="G75" t="s">
        <v>35</v>
      </c>
      <c r="H75">
        <f>YEAR(tbl_Healthcare[[#This Row],[Visit_Date]])</f>
        <v>2024</v>
      </c>
      <c r="I75" t="str">
        <f>TEXT(tbl_Healthcare[[#This Row],[Visit_Date]],"MMM")</f>
        <v>Jan</v>
      </c>
    </row>
    <row r="76" spans="1:9">
      <c r="A76" t="s">
        <v>131</v>
      </c>
      <c r="B76" s="1">
        <v>45419</v>
      </c>
      <c r="C76" t="s">
        <v>51</v>
      </c>
      <c r="D76" t="s">
        <v>132</v>
      </c>
      <c r="E76" t="s">
        <v>61</v>
      </c>
      <c r="F76">
        <v>61</v>
      </c>
      <c r="G76" t="s">
        <v>27</v>
      </c>
      <c r="H76">
        <f>YEAR(tbl_Healthcare[[#This Row],[Visit_Date]])</f>
        <v>2024</v>
      </c>
      <c r="I76" t="str">
        <f>TEXT(tbl_Healthcare[[#This Row],[Visit_Date]],"MMM")</f>
        <v>May</v>
      </c>
    </row>
    <row r="77" spans="1:9">
      <c r="A77" t="s">
        <v>133</v>
      </c>
      <c r="B77" s="1">
        <v>45385</v>
      </c>
      <c r="C77" t="s">
        <v>25</v>
      </c>
      <c r="D77" t="s">
        <v>111</v>
      </c>
      <c r="E77" t="s">
        <v>10</v>
      </c>
      <c r="F77">
        <v>66</v>
      </c>
      <c r="G77" t="s">
        <v>27</v>
      </c>
      <c r="H77">
        <f>YEAR(tbl_Healthcare[[#This Row],[Visit_Date]])</f>
        <v>2024</v>
      </c>
      <c r="I77" t="str">
        <f>TEXT(tbl_Healthcare[[#This Row],[Visit_Date]],"MMM")</f>
        <v>Apr</v>
      </c>
    </row>
    <row r="78" spans="1:9">
      <c r="A78" t="s">
        <v>134</v>
      </c>
      <c r="B78" s="1">
        <v>45616</v>
      </c>
      <c r="C78" t="s">
        <v>44</v>
      </c>
      <c r="D78" t="s">
        <v>37</v>
      </c>
      <c r="E78" t="s">
        <v>22</v>
      </c>
      <c r="F78">
        <v>58</v>
      </c>
      <c r="G78" t="s">
        <v>35</v>
      </c>
      <c r="H78">
        <f>YEAR(tbl_Healthcare[[#This Row],[Visit_Date]])</f>
        <v>2024</v>
      </c>
      <c r="I78" t="str">
        <f>TEXT(tbl_Healthcare[[#This Row],[Visit_Date]],"MMM")</f>
        <v>Nov</v>
      </c>
    </row>
    <row r="79" spans="1:9">
      <c r="A79" t="s">
        <v>135</v>
      </c>
      <c r="B79" s="1">
        <v>45607</v>
      </c>
      <c r="C79" t="s">
        <v>20</v>
      </c>
      <c r="D79" t="s">
        <v>75</v>
      </c>
      <c r="E79" t="s">
        <v>10</v>
      </c>
      <c r="F79">
        <v>25</v>
      </c>
      <c r="G79" t="s">
        <v>23</v>
      </c>
      <c r="H79">
        <f>YEAR(tbl_Healthcare[[#This Row],[Visit_Date]])</f>
        <v>2024</v>
      </c>
      <c r="I79" t="str">
        <f>TEXT(tbl_Healthcare[[#This Row],[Visit_Date]],"MMM")</f>
        <v>Nov</v>
      </c>
    </row>
    <row r="80" spans="1:9">
      <c r="A80" t="s">
        <v>136</v>
      </c>
      <c r="B80" s="1">
        <v>45361</v>
      </c>
      <c r="C80" t="s">
        <v>51</v>
      </c>
      <c r="D80" t="s">
        <v>132</v>
      </c>
      <c r="E80" t="s">
        <v>22</v>
      </c>
      <c r="F80">
        <v>45</v>
      </c>
      <c r="G80" t="s">
        <v>27</v>
      </c>
      <c r="H80">
        <f>YEAR(tbl_Healthcare[[#This Row],[Visit_Date]])</f>
        <v>2024</v>
      </c>
      <c r="I80" t="str">
        <f>TEXT(tbl_Healthcare[[#This Row],[Visit_Date]],"MMM")</f>
        <v>Mar</v>
      </c>
    </row>
    <row r="81" spans="1:9">
      <c r="A81" t="s">
        <v>137</v>
      </c>
      <c r="B81" s="1">
        <v>45547</v>
      </c>
      <c r="C81" t="s">
        <v>33</v>
      </c>
      <c r="D81" t="s">
        <v>138</v>
      </c>
      <c r="E81" t="s">
        <v>10</v>
      </c>
      <c r="F81">
        <v>52</v>
      </c>
      <c r="G81" t="s">
        <v>35</v>
      </c>
      <c r="H81">
        <f>YEAR(tbl_Healthcare[[#This Row],[Visit_Date]])</f>
        <v>2024</v>
      </c>
      <c r="I81" t="str">
        <f>TEXT(tbl_Healthcare[[#This Row],[Visit_Date]],"MMM")</f>
        <v>Sep</v>
      </c>
    </row>
    <row r="82" spans="1:9">
      <c r="A82" t="s">
        <v>139</v>
      </c>
      <c r="B82" s="1">
        <v>45509</v>
      </c>
      <c r="C82" t="s">
        <v>8</v>
      </c>
      <c r="D82" t="s">
        <v>9</v>
      </c>
      <c r="E82" t="s">
        <v>61</v>
      </c>
      <c r="F82">
        <v>39</v>
      </c>
      <c r="G82" t="s">
        <v>11</v>
      </c>
      <c r="H82">
        <f>YEAR(tbl_Healthcare[[#This Row],[Visit_Date]])</f>
        <v>2024</v>
      </c>
      <c r="I82" t="str">
        <f>TEXT(tbl_Healthcare[[#This Row],[Visit_Date]],"MMM")</f>
        <v>Aug</v>
      </c>
    </row>
    <row r="83" spans="1:9">
      <c r="A83" t="s">
        <v>140</v>
      </c>
      <c r="B83" s="1">
        <v>45597</v>
      </c>
      <c r="C83" t="s">
        <v>51</v>
      </c>
      <c r="D83" t="s">
        <v>132</v>
      </c>
      <c r="E83" t="s">
        <v>10</v>
      </c>
      <c r="F83">
        <v>58</v>
      </c>
      <c r="G83" t="s">
        <v>27</v>
      </c>
      <c r="H83">
        <f>YEAR(tbl_Healthcare[[#This Row],[Visit_Date]])</f>
        <v>2024</v>
      </c>
      <c r="I83" t="str">
        <f>TEXT(tbl_Healthcare[[#This Row],[Visit_Date]],"MMM")</f>
        <v>Nov</v>
      </c>
    </row>
    <row r="84" spans="1:9">
      <c r="A84" t="s">
        <v>141</v>
      </c>
      <c r="B84" s="1">
        <v>45588</v>
      </c>
      <c r="C84" t="s">
        <v>63</v>
      </c>
      <c r="D84" t="s">
        <v>102</v>
      </c>
      <c r="E84" t="s">
        <v>61</v>
      </c>
      <c r="F84">
        <v>29</v>
      </c>
      <c r="G84" t="s">
        <v>65</v>
      </c>
      <c r="H84">
        <f>YEAR(tbl_Healthcare[[#This Row],[Visit_Date]])</f>
        <v>2024</v>
      </c>
      <c r="I84" t="str">
        <f>TEXT(tbl_Healthcare[[#This Row],[Visit_Date]],"MMM")</f>
        <v>Oct</v>
      </c>
    </row>
    <row r="85" spans="1:9">
      <c r="A85" t="s">
        <v>142</v>
      </c>
      <c r="B85" s="1">
        <v>45386</v>
      </c>
      <c r="C85" t="s">
        <v>20</v>
      </c>
      <c r="D85" t="s">
        <v>75</v>
      </c>
      <c r="E85" t="s">
        <v>10</v>
      </c>
      <c r="F85">
        <v>34</v>
      </c>
      <c r="G85" t="s">
        <v>23</v>
      </c>
      <c r="H85">
        <f>YEAR(tbl_Healthcare[[#This Row],[Visit_Date]])</f>
        <v>2024</v>
      </c>
      <c r="I85" t="str">
        <f>TEXT(tbl_Healthcare[[#This Row],[Visit_Date]],"MMM")</f>
        <v>Apr</v>
      </c>
    </row>
    <row r="86" spans="1:9">
      <c r="A86" t="s">
        <v>143</v>
      </c>
      <c r="B86" s="1">
        <v>45649</v>
      </c>
      <c r="C86" t="s">
        <v>8</v>
      </c>
      <c r="D86" t="s">
        <v>9</v>
      </c>
      <c r="E86" t="s">
        <v>10</v>
      </c>
      <c r="F86">
        <v>20</v>
      </c>
      <c r="G86" t="s">
        <v>11</v>
      </c>
      <c r="H86">
        <f>YEAR(tbl_Healthcare[[#This Row],[Visit_Date]])</f>
        <v>2024</v>
      </c>
      <c r="I86" t="str">
        <f>TEXT(tbl_Healthcare[[#This Row],[Visit_Date]],"MMM")</f>
        <v>Dec</v>
      </c>
    </row>
    <row r="87" spans="1:9">
      <c r="A87" t="s">
        <v>144</v>
      </c>
      <c r="B87" s="1">
        <v>45684</v>
      </c>
      <c r="C87" t="s">
        <v>8</v>
      </c>
      <c r="D87" t="s">
        <v>13</v>
      </c>
      <c r="E87" t="s">
        <v>22</v>
      </c>
      <c r="F87">
        <v>25</v>
      </c>
      <c r="G87" t="s">
        <v>11</v>
      </c>
      <c r="H87">
        <f>YEAR(tbl_Healthcare[[#This Row],[Visit_Date]])</f>
        <v>2025</v>
      </c>
      <c r="I87" t="str">
        <f>TEXT(tbl_Healthcare[[#This Row],[Visit_Date]],"MMM")</f>
        <v>Jan</v>
      </c>
    </row>
    <row r="88" spans="1:9">
      <c r="A88" t="s">
        <v>145</v>
      </c>
      <c r="B88" s="1">
        <v>45484</v>
      </c>
      <c r="C88" t="s">
        <v>20</v>
      </c>
      <c r="D88" t="s">
        <v>59</v>
      </c>
      <c r="E88" t="s">
        <v>22</v>
      </c>
      <c r="F88">
        <v>37</v>
      </c>
      <c r="G88" t="s">
        <v>23</v>
      </c>
      <c r="H88">
        <f>YEAR(tbl_Healthcare[[#This Row],[Visit_Date]])</f>
        <v>2024</v>
      </c>
      <c r="I88" t="str">
        <f>TEXT(tbl_Healthcare[[#This Row],[Visit_Date]],"MMM")</f>
        <v>Jul</v>
      </c>
    </row>
    <row r="89" spans="1:9">
      <c r="A89" t="s">
        <v>146</v>
      </c>
      <c r="B89" s="1">
        <v>45354</v>
      </c>
      <c r="C89" t="s">
        <v>63</v>
      </c>
      <c r="D89" t="s">
        <v>102</v>
      </c>
      <c r="E89" t="s">
        <v>22</v>
      </c>
      <c r="F89">
        <v>72</v>
      </c>
      <c r="G89" t="s">
        <v>65</v>
      </c>
      <c r="H89">
        <f>YEAR(tbl_Healthcare[[#This Row],[Visit_Date]])</f>
        <v>2024</v>
      </c>
      <c r="I89" t="str">
        <f>TEXT(tbl_Healthcare[[#This Row],[Visit_Date]],"MMM")</f>
        <v>Mar</v>
      </c>
    </row>
    <row r="90" spans="1:9">
      <c r="A90" t="s">
        <v>147</v>
      </c>
      <c r="B90" s="1">
        <v>45434</v>
      </c>
      <c r="C90" t="s">
        <v>40</v>
      </c>
      <c r="D90" t="s">
        <v>93</v>
      </c>
      <c r="E90" t="s">
        <v>10</v>
      </c>
      <c r="F90">
        <v>61</v>
      </c>
      <c r="G90" t="s">
        <v>17</v>
      </c>
      <c r="H90">
        <f>YEAR(tbl_Healthcare[[#This Row],[Visit_Date]])</f>
        <v>2024</v>
      </c>
      <c r="I90" t="str">
        <f>TEXT(tbl_Healthcare[[#This Row],[Visit_Date]],"MMM")</f>
        <v>May</v>
      </c>
    </row>
    <row r="91" spans="1:9">
      <c r="A91" t="s">
        <v>148</v>
      </c>
      <c r="B91" s="1">
        <v>45529</v>
      </c>
      <c r="C91" t="s">
        <v>15</v>
      </c>
      <c r="D91" t="s">
        <v>83</v>
      </c>
      <c r="E91" t="s">
        <v>22</v>
      </c>
      <c r="F91">
        <v>73</v>
      </c>
      <c r="G91" t="s">
        <v>17</v>
      </c>
      <c r="H91">
        <f>YEAR(tbl_Healthcare[[#This Row],[Visit_Date]])</f>
        <v>2024</v>
      </c>
      <c r="I91" t="str">
        <f>TEXT(tbl_Healthcare[[#This Row],[Visit_Date]],"MMM")</f>
        <v>Aug</v>
      </c>
    </row>
    <row r="92" spans="1:9">
      <c r="A92" t="s">
        <v>149</v>
      </c>
      <c r="B92" s="1">
        <v>45531</v>
      </c>
      <c r="C92" t="s">
        <v>63</v>
      </c>
      <c r="D92" t="s">
        <v>104</v>
      </c>
      <c r="E92" t="s">
        <v>10</v>
      </c>
      <c r="F92">
        <v>72</v>
      </c>
      <c r="G92" t="s">
        <v>65</v>
      </c>
      <c r="H92">
        <f>YEAR(tbl_Healthcare[[#This Row],[Visit_Date]])</f>
        <v>2024</v>
      </c>
      <c r="I92" t="str">
        <f>TEXT(tbl_Healthcare[[#This Row],[Visit_Date]],"MMM")</f>
        <v>Aug</v>
      </c>
    </row>
    <row r="93" spans="1:9">
      <c r="A93" t="s">
        <v>150</v>
      </c>
      <c r="B93" s="1">
        <v>45304</v>
      </c>
      <c r="C93" t="s">
        <v>44</v>
      </c>
      <c r="D93" t="s">
        <v>88</v>
      </c>
      <c r="E93" t="s">
        <v>61</v>
      </c>
      <c r="F93">
        <v>31</v>
      </c>
      <c r="G93" t="s">
        <v>35</v>
      </c>
      <c r="H93">
        <f>YEAR(tbl_Healthcare[[#This Row],[Visit_Date]])</f>
        <v>2024</v>
      </c>
      <c r="I93" t="str">
        <f>TEXT(tbl_Healthcare[[#This Row],[Visit_Date]],"MMM")</f>
        <v>Jan</v>
      </c>
    </row>
    <row r="94" spans="1:9">
      <c r="A94" t="s">
        <v>151</v>
      </c>
      <c r="B94" s="1">
        <v>45672</v>
      </c>
      <c r="C94" t="s">
        <v>29</v>
      </c>
      <c r="D94" t="s">
        <v>152</v>
      </c>
      <c r="E94" t="s">
        <v>10</v>
      </c>
      <c r="F94">
        <v>27</v>
      </c>
      <c r="G94" t="s">
        <v>31</v>
      </c>
      <c r="H94">
        <f>YEAR(tbl_Healthcare[[#This Row],[Visit_Date]])</f>
        <v>2025</v>
      </c>
      <c r="I94" t="str">
        <f>TEXT(tbl_Healthcare[[#This Row],[Visit_Date]],"MMM")</f>
        <v>Jan</v>
      </c>
    </row>
    <row r="95" spans="1:9">
      <c r="A95" t="s">
        <v>153</v>
      </c>
      <c r="B95" s="1">
        <v>45365</v>
      </c>
      <c r="C95" t="s">
        <v>25</v>
      </c>
      <c r="D95" t="s">
        <v>54</v>
      </c>
      <c r="E95" t="s">
        <v>61</v>
      </c>
      <c r="F95">
        <v>53</v>
      </c>
      <c r="G95" t="s">
        <v>27</v>
      </c>
      <c r="H95">
        <f>YEAR(tbl_Healthcare[[#This Row],[Visit_Date]])</f>
        <v>2024</v>
      </c>
      <c r="I95" t="str">
        <f>TEXT(tbl_Healthcare[[#This Row],[Visit_Date]],"MMM")</f>
        <v>Mar</v>
      </c>
    </row>
    <row r="96" spans="1:9">
      <c r="A96" t="s">
        <v>154</v>
      </c>
      <c r="B96" s="1">
        <v>45441</v>
      </c>
      <c r="C96" t="s">
        <v>20</v>
      </c>
      <c r="D96" t="s">
        <v>75</v>
      </c>
      <c r="E96" t="s">
        <v>10</v>
      </c>
      <c r="F96">
        <v>38</v>
      </c>
      <c r="G96" t="s">
        <v>23</v>
      </c>
      <c r="H96">
        <f>YEAR(tbl_Healthcare[[#This Row],[Visit_Date]])</f>
        <v>2024</v>
      </c>
      <c r="I96" t="str">
        <f>TEXT(tbl_Healthcare[[#This Row],[Visit_Date]],"MMM")</f>
        <v>May</v>
      </c>
    </row>
    <row r="97" spans="1:9">
      <c r="A97" t="s">
        <v>155</v>
      </c>
      <c r="B97" s="1">
        <v>45366</v>
      </c>
      <c r="C97" t="s">
        <v>33</v>
      </c>
      <c r="D97" t="s">
        <v>138</v>
      </c>
      <c r="E97" t="s">
        <v>10</v>
      </c>
      <c r="F97">
        <v>21</v>
      </c>
      <c r="G97" t="s">
        <v>35</v>
      </c>
      <c r="H97">
        <f>YEAR(tbl_Healthcare[[#This Row],[Visit_Date]])</f>
        <v>2024</v>
      </c>
      <c r="I97" t="str">
        <f>TEXT(tbl_Healthcare[[#This Row],[Visit_Date]],"MMM")</f>
        <v>Mar</v>
      </c>
    </row>
    <row r="98" spans="1:9">
      <c r="A98" t="s">
        <v>156</v>
      </c>
      <c r="B98" s="1">
        <v>45474</v>
      </c>
      <c r="C98" t="s">
        <v>51</v>
      </c>
      <c r="D98" t="s">
        <v>37</v>
      </c>
      <c r="E98" t="s">
        <v>22</v>
      </c>
      <c r="F98">
        <v>71</v>
      </c>
      <c r="G98" t="s">
        <v>27</v>
      </c>
      <c r="H98">
        <f>YEAR(tbl_Healthcare[[#This Row],[Visit_Date]])</f>
        <v>2024</v>
      </c>
      <c r="I98" t="str">
        <f>TEXT(tbl_Healthcare[[#This Row],[Visit_Date]],"MMM")</f>
        <v>Jul</v>
      </c>
    </row>
    <row r="99" spans="1:9">
      <c r="A99" t="s">
        <v>157</v>
      </c>
      <c r="B99" s="1">
        <v>45584</v>
      </c>
      <c r="C99" t="s">
        <v>8</v>
      </c>
      <c r="D99" t="s">
        <v>13</v>
      </c>
      <c r="E99" t="s">
        <v>10</v>
      </c>
      <c r="F99">
        <v>30</v>
      </c>
      <c r="G99" t="s">
        <v>11</v>
      </c>
      <c r="H99">
        <f>YEAR(tbl_Healthcare[[#This Row],[Visit_Date]])</f>
        <v>2024</v>
      </c>
      <c r="I99" t="str">
        <f>TEXT(tbl_Healthcare[[#This Row],[Visit_Date]],"MMM")</f>
        <v>Oct</v>
      </c>
    </row>
    <row r="100" spans="1:9">
      <c r="A100" t="s">
        <v>158</v>
      </c>
      <c r="B100" s="1">
        <v>45396</v>
      </c>
      <c r="C100" t="s">
        <v>25</v>
      </c>
      <c r="D100" t="s">
        <v>111</v>
      </c>
      <c r="E100" t="s">
        <v>10</v>
      </c>
      <c r="F100">
        <v>47</v>
      </c>
      <c r="G100" t="s">
        <v>27</v>
      </c>
      <c r="H100">
        <f>YEAR(tbl_Healthcare[[#This Row],[Visit_Date]])</f>
        <v>2024</v>
      </c>
      <c r="I100" t="str">
        <f>TEXT(tbl_Healthcare[[#This Row],[Visit_Date]],"MMM")</f>
        <v>Apr</v>
      </c>
    </row>
    <row r="101" spans="1:9">
      <c r="A101" t="s">
        <v>159</v>
      </c>
      <c r="B101" s="1">
        <v>45561</v>
      </c>
      <c r="C101" t="s">
        <v>8</v>
      </c>
      <c r="D101" t="s">
        <v>37</v>
      </c>
      <c r="E101" t="s">
        <v>22</v>
      </c>
      <c r="F101">
        <v>74</v>
      </c>
      <c r="G101" t="s">
        <v>11</v>
      </c>
      <c r="H101">
        <f>YEAR(tbl_Healthcare[[#This Row],[Visit_Date]])</f>
        <v>2024</v>
      </c>
      <c r="I101" t="str">
        <f>TEXT(tbl_Healthcare[[#This Row],[Visit_Date]],"MMM")</f>
        <v>Sep</v>
      </c>
    </row>
  </sheetData>
  <phoneticPr fontId="5" type="noConversion"/>
  <dataValidations count="1">
    <dataValidation type="list" allowBlank="1" showInputMessage="1" showErrorMessage="1" sqref="D15" xr:uid="{1363DF80-F9E0-4A30-A46F-9E2EBE734189}">
      <formula1>"Improved,Stable,Worsened"</formula1>
    </dataValidation>
  </dataValidations>
  <pageMargins left="0.7" right="0.7" top="0.75" bottom="0.75" header="0.3" footer="0.3"/>
  <ignoredErrors>
    <ignoredError sqref="D15" listDataValidatio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2E91-DDAA-408F-A5ED-B009609DE944}">
  <dimension ref="A1:P19"/>
  <sheetViews>
    <sheetView showGridLines="0" zoomScale="79" zoomScaleNormal="79" workbookViewId="0">
      <selection activeCell="A9" sqref="A9:A18"/>
    </sheetView>
  </sheetViews>
  <sheetFormatPr defaultRowHeight="14.4"/>
  <cols>
    <col min="1" max="1" width="17.109375" customWidth="1"/>
    <col min="2" max="2" width="12.33203125" customWidth="1"/>
    <col min="3" max="3" width="20.6640625" customWidth="1"/>
    <col min="4" max="4" width="4.33203125" customWidth="1"/>
    <col min="5" max="5" width="7.109375" bestFit="1" customWidth="1"/>
    <col min="6" max="6" width="12.77734375" customWidth="1"/>
    <col min="7" max="7" width="4.33203125" customWidth="1"/>
    <col min="8" max="8" width="11" customWidth="1"/>
    <col min="9" max="9" width="17.6640625" customWidth="1"/>
  </cols>
  <sheetData>
    <row r="1" spans="1:16" ht="14.4" customHeight="1">
      <c r="A1" s="22" t="s">
        <v>185</v>
      </c>
      <c r="B1" s="22"/>
      <c r="C1" s="22"/>
      <c r="D1" s="22"/>
      <c r="E1" s="22"/>
      <c r="F1" s="22"/>
      <c r="G1" s="22"/>
      <c r="H1" s="22"/>
      <c r="I1" s="22"/>
      <c r="J1" s="22"/>
      <c r="K1" s="22"/>
      <c r="L1" s="22"/>
      <c r="M1" s="22"/>
      <c r="N1" s="22"/>
      <c r="O1" s="22"/>
      <c r="P1" s="22"/>
    </row>
    <row r="2" spans="1:16" ht="15" thickBot="1">
      <c r="A2" s="23"/>
      <c r="B2" s="23"/>
      <c r="C2" s="23"/>
      <c r="D2" s="23"/>
      <c r="E2" s="23"/>
      <c r="F2" s="23"/>
      <c r="G2" s="23"/>
      <c r="H2" s="23"/>
      <c r="I2" s="23"/>
      <c r="J2" s="23"/>
      <c r="K2" s="23"/>
      <c r="L2" s="23"/>
      <c r="M2" s="23"/>
      <c r="N2" s="23"/>
      <c r="O2" s="23"/>
      <c r="P2" s="23"/>
    </row>
    <row r="4" spans="1:16" ht="15.6">
      <c r="A4" s="16" t="s">
        <v>162</v>
      </c>
      <c r="B4" s="16" t="s">
        <v>163</v>
      </c>
      <c r="C4" s="16" t="s">
        <v>164</v>
      </c>
      <c r="H4" s="21" t="s">
        <v>168</v>
      </c>
      <c r="I4" s="21"/>
    </row>
    <row r="5" spans="1:16" ht="15.6">
      <c r="A5" s="13">
        <f>COUNTA(_xlfn.UNIQUE(tbl_Healthcare[Patient_ID]))</f>
        <v>100</v>
      </c>
      <c r="B5" s="13">
        <f>ROWS(tbl_Healthcare[])</f>
        <v>100</v>
      </c>
      <c r="C5" s="14">
        <f>COUNTIFS(tbl_Healthcare[Outcome],"Improved") / ROWS(tbl_Healthcare[])</f>
        <v>0.56999999999999995</v>
      </c>
      <c r="H5" s="11" t="s">
        <v>4</v>
      </c>
      <c r="I5" s="12" t="s">
        <v>169</v>
      </c>
    </row>
    <row r="6" spans="1:16" ht="15.6">
      <c r="E6" s="21" t="s">
        <v>170</v>
      </c>
      <c r="F6" s="21"/>
      <c r="H6" s="5" t="s">
        <v>10</v>
      </c>
      <c r="I6" s="8">
        <f>COUNTIFS(tbl_Healthcare[Outcome],"Improved")</f>
        <v>57</v>
      </c>
    </row>
    <row r="7" spans="1:16" ht="15.6">
      <c r="A7" s="21" t="s">
        <v>165</v>
      </c>
      <c r="B7" s="21"/>
      <c r="E7" s="10" t="s">
        <v>171</v>
      </c>
      <c r="F7" s="10" t="s">
        <v>172</v>
      </c>
      <c r="H7" s="5" t="s">
        <v>22</v>
      </c>
      <c r="I7" s="7">
        <f>COUNTIFS(tbl_Healthcare[Outcome],"Stable")</f>
        <v>32</v>
      </c>
    </row>
    <row r="8" spans="1:16">
      <c r="A8" s="10" t="s">
        <v>166</v>
      </c>
      <c r="B8" s="10" t="s">
        <v>167</v>
      </c>
      <c r="E8" s="15" t="s">
        <v>173</v>
      </c>
      <c r="F8" s="7">
        <f>COUNTIFS(tbl_Healthcare[Visit_Month],"Jan")</f>
        <v>13</v>
      </c>
      <c r="H8" s="5" t="s">
        <v>61</v>
      </c>
      <c r="I8" s="7">
        <f>COUNTIFS(tbl_Healthcare[Outcome],"Worsened")</f>
        <v>11</v>
      </c>
    </row>
    <row r="9" spans="1:16">
      <c r="A9" s="15" t="str" cm="1">
        <f t="array" ref="A9:A18">_xlfn.UNIQUE(tbl_Healthcare[Diagnosis])</f>
        <v>Depression</v>
      </c>
      <c r="B9" s="7">
        <f>COUNTIF(tbl_Healthcare[Diagnosis], A9)</f>
        <v>14</v>
      </c>
      <c r="E9" s="15" t="s">
        <v>174</v>
      </c>
      <c r="F9" s="7">
        <f>COUNTIFS(tbl_Healthcare[Visit_Month],"Feb")</f>
        <v>6</v>
      </c>
    </row>
    <row r="10" spans="1:16">
      <c r="A10" s="15" t="str">
        <v>Hypertension</v>
      </c>
      <c r="B10" s="7">
        <f>COUNTIF(tbl_Healthcare[Diagnosis], A10)</f>
        <v>9</v>
      </c>
      <c r="E10" s="15" t="s">
        <v>175</v>
      </c>
      <c r="F10" s="7">
        <f>COUNTIFS(tbl_Healthcare[Visit_Month],"Mar")</f>
        <v>9</v>
      </c>
    </row>
    <row r="11" spans="1:16">
      <c r="A11" s="15" t="str">
        <v>Osteoarthritis</v>
      </c>
      <c r="B11" s="7">
        <f>COUNTIF(tbl_Healthcare[Diagnosis], A11)</f>
        <v>11</v>
      </c>
      <c r="E11" s="15" t="s">
        <v>176</v>
      </c>
      <c r="F11" s="7">
        <f>COUNTIFS(tbl_Healthcare[Visit_Month],"Apr")</f>
        <v>9</v>
      </c>
    </row>
    <row r="12" spans="1:16">
      <c r="A12" s="15" t="str">
        <v>Hypothyroidism</v>
      </c>
      <c r="B12" s="7">
        <f>COUNTIF(tbl_Healthcare[Diagnosis], A12)</f>
        <v>14</v>
      </c>
      <c r="E12" s="15" t="s">
        <v>177</v>
      </c>
      <c r="F12" s="7">
        <f>COUNTIFS(tbl_Healthcare[Visit_Month],"May")</f>
        <v>9</v>
      </c>
      <c r="H12" s="9"/>
    </row>
    <row r="13" spans="1:16">
      <c r="A13" s="15" t="str">
        <v>Rheumatoid Arthritis</v>
      </c>
      <c r="B13" s="7">
        <f>COUNTIF(tbl_Healthcare[Diagnosis], A13)</f>
        <v>4</v>
      </c>
      <c r="E13" s="15" t="s">
        <v>178</v>
      </c>
      <c r="F13" s="7">
        <f>COUNTIFS(tbl_Healthcare[Visit_Month],E13)</f>
        <v>6</v>
      </c>
    </row>
    <row r="14" spans="1:16">
      <c r="A14" s="15" t="str">
        <v>COPD</v>
      </c>
      <c r="B14" s="7">
        <f>COUNTIF(tbl_Healthcare[Diagnosis], A14)</f>
        <v>10</v>
      </c>
      <c r="E14" s="15" t="s">
        <v>179</v>
      </c>
      <c r="F14" s="7">
        <f>COUNTIFS(tbl_Healthcare[Visit_Month],E14)</f>
        <v>5</v>
      </c>
    </row>
    <row r="15" spans="1:16">
      <c r="A15" s="15" t="str">
        <v>Coronary Artery Disease</v>
      </c>
      <c r="B15" s="7">
        <f>COUNTIF(tbl_Healthcare[Diagnosis], A15)</f>
        <v>9</v>
      </c>
      <c r="E15" s="15" t="s">
        <v>180</v>
      </c>
      <c r="F15" s="7">
        <f>COUNTIFS(tbl_Healthcare[Visit_Month],E15)</f>
        <v>10</v>
      </c>
    </row>
    <row r="16" spans="1:16">
      <c r="A16" s="15" t="str">
        <v>Asthma</v>
      </c>
      <c r="B16" s="7">
        <f>COUNTIF(tbl_Healthcare[Diagnosis], A16)</f>
        <v>9</v>
      </c>
      <c r="E16" s="15" t="s">
        <v>181</v>
      </c>
      <c r="F16" s="7">
        <f>COUNTIFS(tbl_Healthcare[Visit_Month],E16)</f>
        <v>5</v>
      </c>
    </row>
    <row r="17" spans="1:6">
      <c r="A17" s="15" t="str">
        <v>Diabetes Type 2</v>
      </c>
      <c r="B17" s="7">
        <f>COUNTIF(tbl_Healthcare[Diagnosis], A17)</f>
        <v>10</v>
      </c>
      <c r="E17" s="15" t="s">
        <v>182</v>
      </c>
      <c r="F17" s="7">
        <f>COUNTIFS(tbl_Healthcare[Visit_Month],E17)</f>
        <v>7</v>
      </c>
    </row>
    <row r="18" spans="1:6">
      <c r="A18" s="15" t="str">
        <v>Chronic Kidney Disease</v>
      </c>
      <c r="B18" s="7">
        <f>COUNTIF(tbl_Healthcare[Diagnosis], A18)</f>
        <v>10</v>
      </c>
      <c r="E18" s="15" t="s">
        <v>183</v>
      </c>
      <c r="F18" s="7">
        <f>COUNTIFS(tbl_Healthcare[Visit_Month],E18)</f>
        <v>11</v>
      </c>
    </row>
    <row r="19" spans="1:6">
      <c r="E19" s="15" t="s">
        <v>184</v>
      </c>
      <c r="F19" s="7">
        <f>COUNTIFS(tbl_Healthcare[Visit_Month],E19)</f>
        <v>10</v>
      </c>
    </row>
  </sheetData>
  <autoFilter ref="B9:B18" xr:uid="{D2B32E91-DDAA-408F-A5ED-B009609DE944}"/>
  <mergeCells count="4">
    <mergeCell ref="A7:B7"/>
    <mergeCell ref="E6:F6"/>
    <mergeCell ref="H4:I4"/>
    <mergeCell ref="A1:P2"/>
  </mergeCells>
  <phoneticPr fontId="5" type="noConversion"/>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3551-A190-4014-8147-9E2AE7E4924E}">
  <dimension ref="A1:L119"/>
  <sheetViews>
    <sheetView showGridLines="0" zoomScale="81" zoomScaleNormal="81" workbookViewId="0">
      <selection activeCell="A27" sqref="A27:L27"/>
    </sheetView>
  </sheetViews>
  <sheetFormatPr defaultRowHeight="14.4"/>
  <cols>
    <col min="1" max="1" width="28" bestFit="1" customWidth="1"/>
    <col min="2" max="2" width="16.6640625" bestFit="1" customWidth="1"/>
    <col min="3" max="3" width="13.44140625" bestFit="1" customWidth="1"/>
    <col min="4" max="4" width="11" bestFit="1" customWidth="1"/>
    <col min="5" max="5" width="11.6640625" bestFit="1" customWidth="1"/>
    <col min="6" max="6" width="9.88671875" bestFit="1" customWidth="1"/>
    <col min="7" max="7" width="12.21875" bestFit="1" customWidth="1"/>
    <col min="8" max="8" width="13.5546875" bestFit="1" customWidth="1"/>
    <col min="9" max="9" width="10.77734375" bestFit="1" customWidth="1"/>
    <col min="10" max="10" width="13.109375" bestFit="1" customWidth="1"/>
    <col min="11" max="11" width="19.21875" bestFit="1" customWidth="1"/>
    <col min="12" max="12" width="10.77734375" bestFit="1" customWidth="1"/>
    <col min="13" max="13" width="10.5546875" bestFit="1" customWidth="1"/>
  </cols>
  <sheetData>
    <row r="1" spans="1:12">
      <c r="A1" s="30" t="s">
        <v>195</v>
      </c>
      <c r="B1" s="31"/>
      <c r="C1" s="31"/>
      <c r="D1" s="31"/>
      <c r="E1" s="31"/>
      <c r="F1" s="31"/>
      <c r="G1" s="31"/>
      <c r="H1" s="31"/>
      <c r="I1" s="31"/>
      <c r="J1" s="31"/>
      <c r="K1" s="31"/>
      <c r="L1" s="31"/>
    </row>
    <row r="2" spans="1:12">
      <c r="A2" s="31"/>
      <c r="B2" s="31"/>
      <c r="C2" s="31"/>
      <c r="D2" s="31"/>
      <c r="E2" s="31"/>
      <c r="F2" s="31"/>
      <c r="G2" s="31"/>
      <c r="H2" s="31"/>
      <c r="I2" s="31"/>
      <c r="J2" s="31"/>
      <c r="K2" s="31"/>
      <c r="L2" s="31"/>
    </row>
    <row r="5" spans="1:12" ht="26.4" thickBot="1">
      <c r="A5" s="32" t="s">
        <v>194</v>
      </c>
      <c r="B5" s="33"/>
      <c r="C5" s="33"/>
      <c r="D5" s="33"/>
      <c r="E5" s="33"/>
      <c r="F5" s="33"/>
      <c r="G5" s="33"/>
      <c r="H5" s="33"/>
      <c r="I5" s="33"/>
      <c r="J5" s="33"/>
      <c r="K5" s="33"/>
      <c r="L5" s="33"/>
    </row>
    <row r="7" spans="1:12">
      <c r="B7" s="17" t="s">
        <v>186</v>
      </c>
    </row>
    <row r="8" spans="1:12">
      <c r="B8" t="s">
        <v>44</v>
      </c>
      <c r="C8" t="s">
        <v>63</v>
      </c>
      <c r="D8" t="s">
        <v>33</v>
      </c>
      <c r="E8" t="s">
        <v>40</v>
      </c>
      <c r="F8" t="s">
        <v>8</v>
      </c>
      <c r="G8" t="s">
        <v>51</v>
      </c>
      <c r="H8" t="s">
        <v>15</v>
      </c>
      <c r="I8" t="s">
        <v>25</v>
      </c>
      <c r="J8" t="s">
        <v>20</v>
      </c>
      <c r="K8" t="s">
        <v>29</v>
      </c>
      <c r="L8" t="s">
        <v>187</v>
      </c>
    </row>
    <row r="9" spans="1:12">
      <c r="A9" t="s">
        <v>194</v>
      </c>
      <c r="B9" s="28">
        <v>9</v>
      </c>
      <c r="C9" s="28">
        <v>10</v>
      </c>
      <c r="D9" s="28">
        <v>10</v>
      </c>
      <c r="E9" s="28">
        <v>9</v>
      </c>
      <c r="F9" s="28">
        <v>14</v>
      </c>
      <c r="G9" s="28">
        <v>10</v>
      </c>
      <c r="H9" s="28">
        <v>9</v>
      </c>
      <c r="I9" s="28">
        <v>14</v>
      </c>
      <c r="J9" s="28">
        <v>11</v>
      </c>
      <c r="K9" s="28">
        <v>4</v>
      </c>
      <c r="L9" s="28">
        <v>100</v>
      </c>
    </row>
    <row r="27" spans="1:12" ht="26.4" thickBot="1">
      <c r="A27" s="32" t="s">
        <v>189</v>
      </c>
      <c r="B27" s="33"/>
      <c r="C27" s="33"/>
      <c r="D27" s="33"/>
      <c r="E27" s="33"/>
      <c r="F27" s="33"/>
      <c r="G27" s="33"/>
      <c r="H27" s="33"/>
      <c r="I27" s="33"/>
      <c r="J27" s="33"/>
      <c r="K27" s="33"/>
      <c r="L27" s="33"/>
    </row>
    <row r="29" spans="1:12">
      <c r="A29" s="17" t="s">
        <v>189</v>
      </c>
      <c r="B29" s="17" t="s">
        <v>186</v>
      </c>
    </row>
    <row r="30" spans="1:12">
      <c r="A30" s="17" t="s">
        <v>188</v>
      </c>
      <c r="B30" t="s">
        <v>10</v>
      </c>
      <c r="C30" t="s">
        <v>22</v>
      </c>
      <c r="D30" t="s">
        <v>61</v>
      </c>
      <c r="E30" t="s">
        <v>187</v>
      </c>
    </row>
    <row r="31" spans="1:12">
      <c r="A31" s="18" t="s">
        <v>44</v>
      </c>
      <c r="B31" s="28">
        <v>5</v>
      </c>
      <c r="C31" s="28">
        <v>3</v>
      </c>
      <c r="D31" s="28">
        <v>1</v>
      </c>
      <c r="E31" s="28">
        <v>9</v>
      </c>
    </row>
    <row r="32" spans="1:12">
      <c r="A32" s="18" t="s">
        <v>63</v>
      </c>
      <c r="B32" s="28">
        <v>4</v>
      </c>
      <c r="C32" s="28">
        <v>5</v>
      </c>
      <c r="D32" s="28">
        <v>1</v>
      </c>
      <c r="E32" s="28">
        <v>10</v>
      </c>
    </row>
    <row r="33" spans="1:12">
      <c r="A33" s="18" t="s">
        <v>33</v>
      </c>
      <c r="B33" s="28">
        <v>5</v>
      </c>
      <c r="C33" s="28">
        <v>3</v>
      </c>
      <c r="D33" s="28">
        <v>2</v>
      </c>
      <c r="E33" s="28">
        <v>10</v>
      </c>
    </row>
    <row r="34" spans="1:12">
      <c r="A34" s="18" t="s">
        <v>40</v>
      </c>
      <c r="B34" s="28">
        <v>5</v>
      </c>
      <c r="C34" s="28">
        <v>4</v>
      </c>
      <c r="D34" s="28"/>
      <c r="E34" s="28">
        <v>9</v>
      </c>
    </row>
    <row r="35" spans="1:12">
      <c r="A35" s="18" t="s">
        <v>8</v>
      </c>
      <c r="B35" s="28">
        <v>10</v>
      </c>
      <c r="C35" s="28">
        <v>3</v>
      </c>
      <c r="D35" s="28">
        <v>1</v>
      </c>
      <c r="E35" s="28">
        <v>14</v>
      </c>
    </row>
    <row r="36" spans="1:12">
      <c r="A36" s="18" t="s">
        <v>51</v>
      </c>
      <c r="B36" s="28">
        <v>5</v>
      </c>
      <c r="C36" s="28">
        <v>4</v>
      </c>
      <c r="D36" s="28">
        <v>1</v>
      </c>
      <c r="E36" s="28">
        <v>10</v>
      </c>
    </row>
    <row r="37" spans="1:12">
      <c r="A37" s="18" t="s">
        <v>15</v>
      </c>
      <c r="B37" s="28">
        <v>5</v>
      </c>
      <c r="C37" s="28">
        <v>3</v>
      </c>
      <c r="D37" s="28">
        <v>1</v>
      </c>
      <c r="E37" s="28">
        <v>9</v>
      </c>
    </row>
    <row r="38" spans="1:12">
      <c r="A38" s="18" t="s">
        <v>25</v>
      </c>
      <c r="B38" s="28">
        <v>9</v>
      </c>
      <c r="C38" s="28">
        <v>3</v>
      </c>
      <c r="D38" s="28">
        <v>2</v>
      </c>
      <c r="E38" s="28">
        <v>14</v>
      </c>
    </row>
    <row r="39" spans="1:12">
      <c r="A39" s="18" t="s">
        <v>20</v>
      </c>
      <c r="B39" s="28">
        <v>5</v>
      </c>
      <c r="C39" s="28">
        <v>4</v>
      </c>
      <c r="D39" s="28">
        <v>2</v>
      </c>
      <c r="E39" s="28">
        <v>11</v>
      </c>
    </row>
    <row r="40" spans="1:12">
      <c r="A40" s="18" t="s">
        <v>29</v>
      </c>
      <c r="B40" s="28">
        <v>4</v>
      </c>
      <c r="C40" s="28"/>
      <c r="D40" s="28"/>
      <c r="E40" s="28">
        <v>4</v>
      </c>
    </row>
    <row r="41" spans="1:12">
      <c r="A41" s="18" t="s">
        <v>187</v>
      </c>
      <c r="B41" s="28">
        <v>57</v>
      </c>
      <c r="C41" s="28">
        <v>32</v>
      </c>
      <c r="D41" s="28">
        <v>11</v>
      </c>
      <c r="E41" s="28">
        <v>100</v>
      </c>
    </row>
    <row r="45" spans="1:12" ht="26.4" thickBot="1">
      <c r="A45" s="32" t="s">
        <v>190</v>
      </c>
      <c r="B45" s="29"/>
      <c r="C45" s="29"/>
      <c r="D45" s="29"/>
      <c r="E45" s="29"/>
      <c r="F45" s="29"/>
      <c r="G45" s="29"/>
      <c r="H45" s="29"/>
      <c r="I45" s="29"/>
      <c r="J45" s="29"/>
      <c r="K45" s="29"/>
      <c r="L45" s="29"/>
    </row>
    <row r="46" spans="1:12">
      <c r="A46" s="34" t="s">
        <v>2</v>
      </c>
      <c r="B46" s="35" t="s">
        <v>190</v>
      </c>
    </row>
    <row r="47" spans="1:12">
      <c r="A47" s="3" t="str" cm="1">
        <f t="array" ref="A47:A56">_xlfn.UNIQUE(tbl_Healthcare[Diagnosis])</f>
        <v>Depression</v>
      </c>
      <c r="B47" s="19">
        <f>COUNTIFS(tbl_Healthcare[Diagnosis],"Depression",tbl_Healthcare[Outcome],"Improved")/COUNTIF(tbl_Healthcare[Diagnosis], "Depression")</f>
        <v>0.7142857142857143</v>
      </c>
    </row>
    <row r="48" spans="1:12">
      <c r="A48" s="3" t="str">
        <v>Hypertension</v>
      </c>
      <c r="B48" s="19">
        <f>COUNTIFS(tbl_Healthcare[Diagnosis],A48,tbl_Healthcare[Outcome],"Improved")/COUNTIF(tbl_Healthcare[Diagnosis], A48)</f>
        <v>0.55555555555555558</v>
      </c>
    </row>
    <row r="49" spans="1:12">
      <c r="A49" s="3" t="str">
        <v>Osteoarthritis</v>
      </c>
      <c r="B49" s="19">
        <f>COUNTIFS(tbl_Healthcare[Diagnosis],A49,tbl_Healthcare[Outcome],"Improved")/COUNTIF(tbl_Healthcare[Diagnosis], A49)</f>
        <v>0.45454545454545453</v>
      </c>
    </row>
    <row r="50" spans="1:12">
      <c r="A50" s="3" t="str">
        <v>Hypothyroidism</v>
      </c>
      <c r="B50" s="19">
        <f>COUNTIFS(tbl_Healthcare[Diagnosis],A50,tbl_Healthcare[Outcome],"Improved")/COUNTIF(tbl_Healthcare[Diagnosis], A50)</f>
        <v>0.6428571428571429</v>
      </c>
    </row>
    <row r="51" spans="1:12">
      <c r="A51" s="3" t="str">
        <v>Rheumatoid Arthritis</v>
      </c>
      <c r="B51" s="19">
        <f>COUNTIFS(tbl_Healthcare[Diagnosis],A51,tbl_Healthcare[Outcome],"Improved")/COUNTIF(tbl_Healthcare[Diagnosis], A51)</f>
        <v>1</v>
      </c>
    </row>
    <row r="52" spans="1:12">
      <c r="A52" s="3" t="str">
        <v>COPD</v>
      </c>
      <c r="B52" s="19">
        <f>COUNTIFS(tbl_Healthcare[Diagnosis],A52,tbl_Healthcare[Outcome],"Improved")/COUNTIF(tbl_Healthcare[Diagnosis], A52)</f>
        <v>0.5</v>
      </c>
    </row>
    <row r="53" spans="1:12">
      <c r="A53" s="3" t="str">
        <v>Coronary Artery Disease</v>
      </c>
      <c r="B53" s="19">
        <f>COUNTIFS(tbl_Healthcare[Diagnosis],A53,tbl_Healthcare[Outcome],"Improved")/COUNTIF(tbl_Healthcare[Diagnosis], A53)</f>
        <v>0.55555555555555558</v>
      </c>
    </row>
    <row r="54" spans="1:12">
      <c r="A54" s="3" t="str">
        <v>Asthma</v>
      </c>
      <c r="B54" s="19">
        <f>COUNTIFS(tbl_Healthcare[Diagnosis],A54,tbl_Healthcare[Outcome],"Improved")/COUNTIF(tbl_Healthcare[Diagnosis], A54)</f>
        <v>0.55555555555555558</v>
      </c>
    </row>
    <row r="55" spans="1:12">
      <c r="A55" s="3" t="str">
        <v>Diabetes Type 2</v>
      </c>
      <c r="B55" s="19">
        <f>COUNTIFS(tbl_Healthcare[Diagnosis],A55,tbl_Healthcare[Outcome],"Improved")/COUNTIF(tbl_Healthcare[Diagnosis], A55)</f>
        <v>0.5</v>
      </c>
    </row>
    <row r="56" spans="1:12" ht="15" thickBot="1">
      <c r="A56" s="4" t="str">
        <v>Chronic Kidney Disease</v>
      </c>
      <c r="B56" s="20">
        <f>COUNTIFS(tbl_Healthcare[Diagnosis],A56,tbl_Healthcare[Outcome],"Improved")/COUNTIF(tbl_Healthcare[Diagnosis], A56)</f>
        <v>0.4</v>
      </c>
    </row>
    <row r="60" spans="1:12" ht="26.4" thickBot="1">
      <c r="A60" s="32" t="s">
        <v>191</v>
      </c>
      <c r="B60" s="29"/>
      <c r="C60" s="29"/>
      <c r="D60" s="29"/>
      <c r="E60" s="29"/>
      <c r="F60" s="29"/>
      <c r="G60" s="29"/>
      <c r="H60" s="29"/>
      <c r="I60" s="29"/>
      <c r="J60" s="29"/>
      <c r="K60" s="29"/>
      <c r="L60" s="29"/>
    </row>
    <row r="62" spans="1:12">
      <c r="B62" s="17" t="s">
        <v>186</v>
      </c>
    </row>
    <row r="63" spans="1:12">
      <c r="B63" t="s">
        <v>17</v>
      </c>
      <c r="C63" t="s">
        <v>27</v>
      </c>
      <c r="D63" t="s">
        <v>65</v>
      </c>
      <c r="E63" t="s">
        <v>23</v>
      </c>
      <c r="F63" t="s">
        <v>11</v>
      </c>
      <c r="G63" t="s">
        <v>35</v>
      </c>
      <c r="H63" t="s">
        <v>31</v>
      </c>
      <c r="I63" t="s">
        <v>187</v>
      </c>
    </row>
    <row r="64" spans="1:12">
      <c r="A64" t="s">
        <v>191</v>
      </c>
      <c r="B64" s="2">
        <v>0.18</v>
      </c>
      <c r="C64" s="2">
        <v>0.24</v>
      </c>
      <c r="D64" s="2">
        <v>0.1</v>
      </c>
      <c r="E64" s="2">
        <v>0.11</v>
      </c>
      <c r="F64" s="2">
        <v>0.14000000000000001</v>
      </c>
      <c r="G64" s="2">
        <v>0.19</v>
      </c>
      <c r="H64" s="2">
        <v>0.04</v>
      </c>
      <c r="I64" s="2">
        <v>1</v>
      </c>
    </row>
    <row r="84" spans="1:12" ht="26.4" thickBot="1">
      <c r="A84" s="32" t="s">
        <v>192</v>
      </c>
      <c r="B84" s="36"/>
      <c r="C84" s="36"/>
      <c r="D84" s="36"/>
      <c r="E84" s="36"/>
      <c r="F84" s="36"/>
      <c r="G84" s="36"/>
      <c r="H84" s="36"/>
      <c r="I84" s="36"/>
      <c r="J84" s="36"/>
      <c r="K84" s="36"/>
      <c r="L84" s="36"/>
    </row>
    <row r="86" spans="1:12">
      <c r="A86" s="17" t="s">
        <v>192</v>
      </c>
      <c r="B86" s="17" t="s">
        <v>186</v>
      </c>
    </row>
    <row r="87" spans="1:12">
      <c r="A87" s="17" t="s">
        <v>188</v>
      </c>
      <c r="B87" t="s">
        <v>10</v>
      </c>
      <c r="C87" t="s">
        <v>22</v>
      </c>
      <c r="D87" t="s">
        <v>61</v>
      </c>
      <c r="E87" t="s">
        <v>187</v>
      </c>
    </row>
    <row r="88" spans="1:12">
      <c r="A88" s="18" t="s">
        <v>17</v>
      </c>
      <c r="B88" s="28">
        <v>10</v>
      </c>
      <c r="C88" s="28">
        <v>7</v>
      </c>
      <c r="D88" s="28">
        <v>1</v>
      </c>
      <c r="E88" s="28">
        <v>18</v>
      </c>
    </row>
    <row r="89" spans="1:12">
      <c r="A89" s="18" t="s">
        <v>27</v>
      </c>
      <c r="B89" s="28">
        <v>14</v>
      </c>
      <c r="C89" s="28">
        <v>7</v>
      </c>
      <c r="D89" s="28">
        <v>3</v>
      </c>
      <c r="E89" s="28">
        <v>24</v>
      </c>
    </row>
    <row r="90" spans="1:12">
      <c r="A90" s="18" t="s">
        <v>65</v>
      </c>
      <c r="B90" s="28">
        <v>4</v>
      </c>
      <c r="C90" s="28">
        <v>5</v>
      </c>
      <c r="D90" s="28">
        <v>1</v>
      </c>
      <c r="E90" s="28">
        <v>10</v>
      </c>
    </row>
    <row r="91" spans="1:12">
      <c r="A91" s="18" t="s">
        <v>23</v>
      </c>
      <c r="B91" s="28">
        <v>5</v>
      </c>
      <c r="C91" s="28">
        <v>4</v>
      </c>
      <c r="D91" s="28">
        <v>2</v>
      </c>
      <c r="E91" s="28">
        <v>11</v>
      </c>
    </row>
    <row r="92" spans="1:12">
      <c r="A92" s="18" t="s">
        <v>11</v>
      </c>
      <c r="B92" s="28">
        <v>10</v>
      </c>
      <c r="C92" s="28">
        <v>3</v>
      </c>
      <c r="D92" s="28">
        <v>1</v>
      </c>
      <c r="E92" s="28">
        <v>14</v>
      </c>
    </row>
    <row r="93" spans="1:12">
      <c r="A93" s="18" t="s">
        <v>35</v>
      </c>
      <c r="B93" s="28">
        <v>10</v>
      </c>
      <c r="C93" s="28">
        <v>6</v>
      </c>
      <c r="D93" s="28">
        <v>3</v>
      </c>
      <c r="E93" s="28">
        <v>19</v>
      </c>
    </row>
    <row r="94" spans="1:12">
      <c r="A94" s="18" t="s">
        <v>31</v>
      </c>
      <c r="B94" s="28">
        <v>4</v>
      </c>
      <c r="C94" s="28"/>
      <c r="D94" s="28"/>
      <c r="E94" s="28">
        <v>4</v>
      </c>
    </row>
    <row r="95" spans="1:12">
      <c r="A95" s="18" t="s">
        <v>187</v>
      </c>
      <c r="B95" s="28">
        <v>57</v>
      </c>
      <c r="C95" s="28">
        <v>32</v>
      </c>
      <c r="D95" s="28">
        <v>11</v>
      </c>
      <c r="E95" s="28">
        <v>100</v>
      </c>
    </row>
    <row r="103" spans="1:12" ht="26.4" thickBot="1">
      <c r="A103" s="32" t="s">
        <v>196</v>
      </c>
      <c r="B103" s="32"/>
      <c r="C103" s="32"/>
      <c r="D103" s="32"/>
      <c r="E103" s="32"/>
      <c r="F103" s="32"/>
      <c r="G103" s="32"/>
      <c r="H103" s="32"/>
      <c r="I103" s="32"/>
      <c r="J103" s="32"/>
      <c r="K103" s="32"/>
      <c r="L103" s="32"/>
    </row>
    <row r="105" spans="1:12">
      <c r="A105" s="17" t="s">
        <v>193</v>
      </c>
      <c r="B105" s="17" t="s">
        <v>186</v>
      </c>
    </row>
    <row r="106" spans="1:12">
      <c r="A106" s="17" t="s">
        <v>188</v>
      </c>
      <c r="B106" t="s">
        <v>17</v>
      </c>
      <c r="C106" t="s">
        <v>27</v>
      </c>
      <c r="D106" t="s">
        <v>65</v>
      </c>
      <c r="E106" t="s">
        <v>23</v>
      </c>
      <c r="F106" t="s">
        <v>11</v>
      </c>
      <c r="G106" t="s">
        <v>35</v>
      </c>
      <c r="H106" t="s">
        <v>31</v>
      </c>
      <c r="I106" t="s">
        <v>187</v>
      </c>
    </row>
    <row r="107" spans="1:12">
      <c r="A107" s="18" t="s">
        <v>173</v>
      </c>
      <c r="B107" s="28">
        <v>3</v>
      </c>
      <c r="C107" s="28">
        <v>1</v>
      </c>
      <c r="D107" s="28"/>
      <c r="E107" s="28">
        <v>1</v>
      </c>
      <c r="F107" s="28">
        <v>3</v>
      </c>
      <c r="G107" s="28">
        <v>3</v>
      </c>
      <c r="H107" s="28">
        <v>2</v>
      </c>
      <c r="I107" s="28">
        <v>13</v>
      </c>
    </row>
    <row r="108" spans="1:12">
      <c r="A108" s="18" t="s">
        <v>174</v>
      </c>
      <c r="B108" s="28"/>
      <c r="C108" s="28">
        <v>2</v>
      </c>
      <c r="D108" s="28">
        <v>1</v>
      </c>
      <c r="E108" s="28">
        <v>1</v>
      </c>
      <c r="F108" s="28"/>
      <c r="G108" s="28">
        <v>2</v>
      </c>
      <c r="H108" s="28"/>
      <c r="I108" s="28">
        <v>6</v>
      </c>
    </row>
    <row r="109" spans="1:12">
      <c r="A109" s="18" t="s">
        <v>175</v>
      </c>
      <c r="B109" s="28">
        <v>2</v>
      </c>
      <c r="C109" s="28">
        <v>3</v>
      </c>
      <c r="D109" s="28">
        <v>1</v>
      </c>
      <c r="E109" s="28"/>
      <c r="F109" s="28">
        <v>1</v>
      </c>
      <c r="G109" s="28">
        <v>2</v>
      </c>
      <c r="H109" s="28"/>
      <c r="I109" s="28">
        <v>9</v>
      </c>
    </row>
    <row r="110" spans="1:12">
      <c r="A110" s="18" t="s">
        <v>176</v>
      </c>
      <c r="B110" s="28">
        <v>2</v>
      </c>
      <c r="C110" s="28">
        <v>3</v>
      </c>
      <c r="D110" s="28">
        <v>1</v>
      </c>
      <c r="E110" s="28">
        <v>1</v>
      </c>
      <c r="F110" s="28">
        <v>1</v>
      </c>
      <c r="G110" s="28">
        <v>1</v>
      </c>
      <c r="H110" s="28"/>
      <c r="I110" s="28">
        <v>9</v>
      </c>
    </row>
    <row r="111" spans="1:12">
      <c r="A111" s="18" t="s">
        <v>177</v>
      </c>
      <c r="B111" s="28">
        <v>2</v>
      </c>
      <c r="C111" s="28">
        <v>2</v>
      </c>
      <c r="D111" s="28"/>
      <c r="E111" s="28">
        <v>3</v>
      </c>
      <c r="F111" s="28"/>
      <c r="G111" s="28">
        <v>2</v>
      </c>
      <c r="H111" s="28"/>
      <c r="I111" s="28">
        <v>9</v>
      </c>
    </row>
    <row r="112" spans="1:12">
      <c r="A112" s="18" t="s">
        <v>178</v>
      </c>
      <c r="B112" s="28">
        <v>2</v>
      </c>
      <c r="C112" s="28">
        <v>2</v>
      </c>
      <c r="D112" s="28">
        <v>1</v>
      </c>
      <c r="E112" s="28"/>
      <c r="F112" s="28"/>
      <c r="G112" s="28">
        <v>1</v>
      </c>
      <c r="H112" s="28"/>
      <c r="I112" s="28">
        <v>6</v>
      </c>
    </row>
    <row r="113" spans="1:9">
      <c r="A113" s="18" t="s">
        <v>179</v>
      </c>
      <c r="B113" s="28">
        <v>1</v>
      </c>
      <c r="C113" s="28">
        <v>1</v>
      </c>
      <c r="D113" s="28">
        <v>1</v>
      </c>
      <c r="E113" s="28">
        <v>1</v>
      </c>
      <c r="F113" s="28"/>
      <c r="G113" s="28">
        <v>1</v>
      </c>
      <c r="H113" s="28"/>
      <c r="I113" s="28">
        <v>5</v>
      </c>
    </row>
    <row r="114" spans="1:9">
      <c r="A114" s="18" t="s">
        <v>180</v>
      </c>
      <c r="B114" s="28">
        <v>2</v>
      </c>
      <c r="C114" s="28">
        <v>1</v>
      </c>
      <c r="D114" s="28">
        <v>2</v>
      </c>
      <c r="E114" s="28">
        <v>1</v>
      </c>
      <c r="F114" s="28">
        <v>3</v>
      </c>
      <c r="G114" s="28">
        <v>1</v>
      </c>
      <c r="H114" s="28"/>
      <c r="I114" s="28">
        <v>10</v>
      </c>
    </row>
    <row r="115" spans="1:9">
      <c r="A115" s="18" t="s">
        <v>181</v>
      </c>
      <c r="B115" s="28">
        <v>1</v>
      </c>
      <c r="C115" s="28"/>
      <c r="D115" s="28"/>
      <c r="E115" s="28">
        <v>1</v>
      </c>
      <c r="F115" s="28">
        <v>2</v>
      </c>
      <c r="G115" s="28">
        <v>1</v>
      </c>
      <c r="H115" s="28"/>
      <c r="I115" s="28">
        <v>5</v>
      </c>
    </row>
    <row r="116" spans="1:9">
      <c r="A116" s="18" t="s">
        <v>182</v>
      </c>
      <c r="B116" s="28"/>
      <c r="C116" s="28">
        <v>1</v>
      </c>
      <c r="D116" s="28">
        <v>2</v>
      </c>
      <c r="E116" s="28"/>
      <c r="F116" s="28">
        <v>2</v>
      </c>
      <c r="G116" s="28">
        <v>1</v>
      </c>
      <c r="H116" s="28">
        <v>1</v>
      </c>
      <c r="I116" s="28">
        <v>7</v>
      </c>
    </row>
    <row r="117" spans="1:9">
      <c r="A117" s="18" t="s">
        <v>183</v>
      </c>
      <c r="B117" s="28">
        <v>2</v>
      </c>
      <c r="C117" s="28">
        <v>3</v>
      </c>
      <c r="D117" s="28"/>
      <c r="E117" s="28">
        <v>1</v>
      </c>
      <c r="F117" s="28">
        <v>1</v>
      </c>
      <c r="G117" s="28">
        <v>3</v>
      </c>
      <c r="H117" s="28">
        <v>1</v>
      </c>
      <c r="I117" s="28">
        <v>11</v>
      </c>
    </row>
    <row r="118" spans="1:9">
      <c r="A118" s="18" t="s">
        <v>184</v>
      </c>
      <c r="B118" s="28">
        <v>1</v>
      </c>
      <c r="C118" s="28">
        <v>5</v>
      </c>
      <c r="D118" s="28">
        <v>1</v>
      </c>
      <c r="E118" s="28">
        <v>1</v>
      </c>
      <c r="F118" s="28">
        <v>1</v>
      </c>
      <c r="G118" s="28">
        <v>1</v>
      </c>
      <c r="H118" s="28"/>
      <c r="I118" s="28">
        <v>10</v>
      </c>
    </row>
    <row r="119" spans="1:9">
      <c r="A119" s="18" t="s">
        <v>187</v>
      </c>
      <c r="B119" s="28">
        <v>18</v>
      </c>
      <c r="C119" s="28">
        <v>24</v>
      </c>
      <c r="D119" s="28">
        <v>10</v>
      </c>
      <c r="E119" s="28">
        <v>11</v>
      </c>
      <c r="F119" s="28">
        <v>14</v>
      </c>
      <c r="G119" s="28">
        <v>19</v>
      </c>
      <c r="H119" s="28">
        <v>4</v>
      </c>
      <c r="I119" s="28">
        <v>100</v>
      </c>
    </row>
  </sheetData>
  <mergeCells count="7">
    <mergeCell ref="A84:L84"/>
    <mergeCell ref="A103:L103"/>
    <mergeCell ref="A1:L2"/>
    <mergeCell ref="A5:L5"/>
    <mergeCell ref="A27:L27"/>
    <mergeCell ref="A45:L45"/>
    <mergeCell ref="A60:L60"/>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564BB-A15A-4CA0-8437-972B8CE9122A}">
  <dimension ref="A1:AK67"/>
  <sheetViews>
    <sheetView tabSelected="1" zoomScale="38" zoomScaleNormal="38" workbookViewId="0">
      <selection activeCell="AN27" sqref="AN27"/>
    </sheetView>
  </sheetViews>
  <sheetFormatPr defaultRowHeight="14.4"/>
  <cols>
    <col min="1" max="1" width="7.6640625" customWidth="1"/>
    <col min="2" max="2" width="8.77734375" customWidth="1"/>
    <col min="8" max="8" width="8.6640625" customWidth="1"/>
  </cols>
  <sheetData>
    <row r="1" spans="1:37">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row>
    <row r="2" spans="1:37">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spans="1:37" ht="23.4">
      <c r="A3" s="24"/>
      <c r="B3" s="25"/>
      <c r="C3" s="24"/>
      <c r="D3" s="24"/>
      <c r="E3" s="24"/>
      <c r="F3" s="24"/>
      <c r="G3" s="24"/>
      <c r="H3" s="26"/>
      <c r="I3" s="26"/>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spans="1:37" ht="21">
      <c r="A4" s="24"/>
      <c r="B4" s="27"/>
      <c r="C4" s="24"/>
      <c r="D4" s="24"/>
      <c r="E4" s="24"/>
      <c r="F4" s="24"/>
      <c r="G4" s="24"/>
      <c r="H4" s="26"/>
      <c r="I4" s="26"/>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row>
    <row r="5" spans="1:37">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row>
    <row r="6" spans="1:37">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row>
    <row r="7" spans="1:37">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row>
    <row r="8" spans="1:37">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row>
    <row r="9" spans="1:37">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row>
    <row r="10" spans="1:37">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37">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row>
    <row r="12" spans="1:37">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spans="1:37">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row>
    <row r="14" spans="1:37">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row>
    <row r="15" spans="1:37">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spans="1:37">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3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row>
    <row r="18" spans="1:37">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row>
    <row r="19" spans="1:37">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row>
    <row r="20" spans="1:37">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spans="1:37">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spans="1:37">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row>
    <row r="23" spans="1:37">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row>
    <row r="24" spans="1:37">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row>
    <row r="25" spans="1:37">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7">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spans="1:3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row>
    <row r="28" spans="1:37">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row>
    <row r="29" spans="1:37">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row>
    <row r="30" spans="1:37">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row>
    <row r="31" spans="1:37">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row>
    <row r="32" spans="1:37">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spans="1:37">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r="34" spans="1:37">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r="35" spans="1:37">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spans="1:37">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spans="1: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spans="1:37">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spans="1:37">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spans="1:37">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spans="1:37">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row>
    <row r="42" spans="1:37">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row>
    <row r="43" spans="1:37">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row>
    <row r="44" spans="1:37">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row>
    <row r="45" spans="1:37">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row>
    <row r="46" spans="1:37">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row>
    <row r="47" spans="1:3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row>
    <row r="48" spans="1:37">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row>
    <row r="49" spans="1:37">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row>
    <row r="50" spans="1:37">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row>
    <row r="51" spans="1:37">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row>
    <row r="52" spans="1:37">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spans="1:37">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spans="1:37">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spans="1:37">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spans="1:37">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spans="1:3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spans="1:37">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spans="1:37">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spans="1:37">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spans="1:37">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spans="1:37">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spans="1:37">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spans="1:37">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spans="1:37">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spans="1:37">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spans="1:3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tbl_Healthcare</vt:lpstr>
      <vt:lpstr>Dashboard_Data</vt:lpstr>
      <vt:lpstr>Dashboard_Charts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Kostanca Kovaci</dc:creator>
  <cp:lastModifiedBy>Kostanca Kovaci</cp:lastModifiedBy>
  <dcterms:created xsi:type="dcterms:W3CDTF">2025-11-04T08:59:22Z</dcterms:created>
  <dcterms:modified xsi:type="dcterms:W3CDTF">2025-11-04T18:25:00Z</dcterms:modified>
</cp:coreProperties>
</file>